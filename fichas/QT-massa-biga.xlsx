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sa" sheetId="1" state="visible" r:id="rId3"/>
    <sheet name="Três braç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<sst xmlns="http://schemas.openxmlformats.org/spreadsheetml/2006/main" count="113" uniqueCount="83">
  <si>
    <t xml:space="preserve">QT PIZZA BAR · MASSA COM BIGA</t>
  </si>
  <si>
    <t xml:space="preserve">Blend de três farinhas · biga a 37% da farinha · 75% de hidratação final</t>
  </si>
  <si>
    <t xml:space="preserve">COMO USAR</t>
  </si>
  <si>
    <t xml:space="preserve">Edite só as células amarelas. Todo o resto é fórmula e se recalcula sozinho.</t>
  </si>
  <si>
    <t xml:space="preserve">A hidratação da biga é a variável do ensaio. Mudando ela, a água se desloca da biga para o rinfresco e vice-versa: a soma continua 75%.</t>
  </si>
  <si>
    <t xml:space="preserve">As porcentagens de farinha são sempre sobre a farinha total, do jeito que você já conta a receita.</t>
  </si>
  <si>
    <t xml:space="preserve">  RENDIMENTO · quanto você quer produzir</t>
  </si>
  <si>
    <t xml:space="preserve">Número de bolas</t>
  </si>
  <si>
    <t xml:space="preserve">Peso da bola</t>
  </si>
  <si>
    <t xml:space="preserve">Perda de processo</t>
  </si>
  <si>
    <t xml:space="preserve">resto de masseira, bancada, sobra de staglio</t>
  </si>
  <si>
    <t xml:space="preserve">Massa total a produzir</t>
  </si>
  <si>
    <t xml:space="preserve">  FÓRMULA · percentuais do padeiro, sobre a farinha total</t>
  </si>
  <si>
    <t xml:space="preserve">Hidratação final</t>
  </si>
  <si>
    <t xml:space="preserve">alvo da QT e dos braços do ensaio</t>
  </si>
  <si>
    <t xml:space="preserve">Sal</t>
  </si>
  <si>
    <t xml:space="preserve">entra todo no rinfresco</t>
  </si>
  <si>
    <t xml:space="preserve">Fermento fresco, sobre a farinha DA BIGA</t>
  </si>
  <si>
    <t xml:space="preserve">atenção: base é a farinha da biga, não a total</t>
  </si>
  <si>
    <t xml:space="preserve">Biga, fração da farinha total</t>
  </si>
  <si>
    <t xml:space="preserve">sua receita: 10% Marrone + 27% Viola</t>
  </si>
  <si>
    <t xml:space="preserve">Hidratação da biga</t>
  </si>
  <si>
    <t xml:space="preserve">a variável do ensaio</t>
  </si>
  <si>
    <t xml:space="preserve">Farinha total</t>
  </si>
  <si>
    <t xml:space="preserve">derivada do rendimento e dos percentuais</t>
  </si>
  <si>
    <t xml:space="preserve">Água total</t>
  </si>
  <si>
    <t xml:space="preserve">Sal total</t>
  </si>
  <si>
    <t xml:space="preserve">  BLEND · percentuais sobre a farinha total</t>
  </si>
  <si>
    <t xml:space="preserve">Farinha</t>
  </si>
  <si>
    <t xml:space="preserve">Na biga</t>
  </si>
  <si>
    <t xml:space="preserve">No rinfresco</t>
  </si>
  <si>
    <t xml:space="preserve">Total</t>
  </si>
  <si>
    <t xml:space="preserve">Marrone</t>
  </si>
  <si>
    <t xml:space="preserve">Viola</t>
  </si>
  <si>
    <t xml:space="preserve">Verde</t>
  </si>
  <si>
    <t xml:space="preserve">  PESAGEM DA BIGA</t>
  </si>
  <si>
    <t xml:space="preserve">Ingrediente</t>
  </si>
  <si>
    <t xml:space="preserve">Peso</t>
  </si>
  <si>
    <t xml:space="preserve">% s/ farinha total</t>
  </si>
  <si>
    <t xml:space="preserve">Água gelada</t>
  </si>
  <si>
    <t xml:space="preserve">Fermento fresco</t>
  </si>
  <si>
    <t xml:space="preserve">Total da biga</t>
  </si>
  <si>
    <t xml:space="preserve">Mistura curta, 4 a 5 min em v1. A biga não precisa ficar lisa.</t>
  </si>
  <si>
    <t xml:space="preserve">  PESAGEM DO RINFRESCO</t>
  </si>
  <si>
    <t xml:space="preserve">Biga inteira</t>
  </si>
  <si>
    <t xml:space="preserve">Água</t>
  </si>
  <si>
    <t xml:space="preserve">Total da massa</t>
  </si>
  <si>
    <t xml:space="preserve">Água a fio em 2 ou 3 adições. Sal dissolvido na última. TA final 24 a 26 °C.</t>
  </si>
  <si>
    <t xml:space="preserve">  CONFERÊNCIA E DERIVADOS</t>
  </si>
  <si>
    <t xml:space="preserve">Fecha com a massa pedida?</t>
  </si>
  <si>
    <t xml:space="preserve">tem que dar zero</t>
  </si>
  <si>
    <t xml:space="preserve">Hidratação sobre a farinha do rinfresco</t>
  </si>
  <si>
    <t xml:space="preserve">é o que você sente na mão ao fechar a massa</t>
  </si>
  <si>
    <t xml:space="preserve">Farinha pré-fermentada</t>
  </si>
  <si>
    <t xml:space="preserve">fração que passa pela biga</t>
  </si>
  <si>
    <t xml:space="preserve">Fermento em % da farinha total</t>
  </si>
  <si>
    <t xml:space="preserve">para comparar com receita que dosa na farinha total</t>
  </si>
  <si>
    <t xml:space="preserve">Peso de bola conferido</t>
  </si>
  <si>
    <t xml:space="preserve">tem que bater com o peso pedido</t>
  </si>
  <si>
    <t xml:space="preserve">  NOTAS</t>
  </si>
  <si>
    <t xml:space="preserve">· A biga carrega só 37% da farinha, então a hidratação dela mexe menos no resultado final do que mexia no ensaio, onde a biga era 100% da farinha. Não espere a mesma diferença entre 45, 55 e 65 aqui: o efeito chega diluído.</t>
  </si>
  <si>
    <t xml:space="preserve">· O que muda de verdade nesta estrutura é a linha 56. Com a biga a 45% a farinha do rinfresco recebe perto de 93% de hidratação; a 65% ela cai para 81%. É uma massa final bem diferente de fechar, com a mesma hidratação total de 75%.</t>
  </si>
  <si>
    <t xml:space="preserve">· Todo o fermento vai na biga. A dose é sobre a farinha DA BIGA, não sobre a total: com 37% de biga, 0,9% na biga equivale a 0,33% na farinha total.</t>
  </si>
  <si>
    <t xml:space="preserve">· O sal entra inteiro no rinfresco, nunca na biga. Sal na biga trava a protease e você perde a maturação que foi buscar.</t>
  </si>
  <si>
    <t xml:space="preserve">· Se mudar a fração da biga na linha 19, ajuste o blend: a coluna Na biga tem que somar exatamente essa fração, e o total das duas colunas tem que dar 100%.</t>
  </si>
  <si>
    <t xml:space="preserve">Fonte da receita: blend e percentuais informados por Matheus. Hidratações de biga e doses de fermento: caderno QT-ensaio-pre-fermentos.</t>
  </si>
  <si>
    <t xml:space="preserve">OS TRÊS BRAÇOS NA MASSA DA QT</t>
  </si>
  <si>
    <t xml:space="preserve">Mesma estrutura de receita, mesma hidratação final, mesmo blend. Só muda a hidratação da biga e a dose de fermento.</t>
  </si>
  <si>
    <t xml:space="preserve">Rendimento, blend, sal e hidratação final vêm da aba Massa. Edite lá e os três braços acompanham.</t>
  </si>
  <si>
    <t xml:space="preserve">  VARIÁVEIS DE CADA BRAÇO</t>
  </si>
  <si>
    <t xml:space="preserve">A · Fredda</t>
  </si>
  <si>
    <t xml:space="preserve">B · Morbida</t>
  </si>
  <si>
    <t xml:space="preserve">C · Umida</t>
  </si>
  <si>
    <t xml:space="preserve">Fermento s/ farinha da biga</t>
  </si>
  <si>
    <t xml:space="preserve">  PESAGEM · gramas por braço</t>
  </si>
  <si>
    <t xml:space="preserve">A · 45%</t>
  </si>
  <si>
    <t xml:space="preserve">B · 55%</t>
  </si>
  <si>
    <t xml:space="preserve">C · 65%</t>
  </si>
  <si>
    <t xml:space="preserve">  O QUE MUDA ENTRE OS BRAÇOS</t>
  </si>
  <si>
    <t xml:space="preserve">Água na biga</t>
  </si>
  <si>
    <t xml:space="preserve">Água no rinfresco</t>
  </si>
  <si>
    <t xml:space="preserve">A linha 27 é a leitura mais importante desta aba. A hidratação final é 75% nos três, mas a farinha que entra seca no rinfresco recebe quase 93% no braço A e 81% no braço C. São massas bem diferentes de fechar, e boa parte do que você vai sentir vem daí, não da biga em si.</t>
  </si>
  <si>
    <t xml:space="preserve">Verde indica valor calculado a partir da aba Massa. Azul é o que você digita.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</si>
</sst>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&quot; g&quot;"/>
    <numFmt numFmtId="167" formatCode="0.0%"/>
    <numFmt numFmtId="168" formatCode="#,##0.0&quot; g&quot;"/>
    <numFmt numFmtId="169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E1E"/>
      <name val="Arial"/>
      <family val="0"/>
      <charset val="1"/>
    </font>
    <font>
      <sz val="10"/>
      <color rgb="FF6E7474"/>
      <name val="Arial"/>
      <family val="0"/>
      <charset val="1"/>
    </font>
    <font>
      <b val="true"/>
      <sz val="9"/>
      <color rgb="FF1A1E1E"/>
      <name val="Arial"/>
      <family val="0"/>
      <charset val="1"/>
    </font>
    <font>
      <sz val="9"/>
      <color rgb="FF4A505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A1E1E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1A1E1E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E1E"/>
        <bgColor rgb="FF333300"/>
      </patternFill>
    </fill>
    <fill>
      <patternFill patternType="solid">
        <fgColor rgb="FFFFFF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C4C3"/>
      </left>
      <right style="thin">
        <color rgb="FFBFC4C3"/>
      </right>
      <top style="thin">
        <color rgb="FFBFC4C3"/>
      </top>
      <bottom style="thin">
        <color rgb="FFBFC4C3"/>
      </bottom>
      <diagonal/>
    </border>
    <border diagonalUp="false" diagonalDown="false">
      <left/>
      <right/>
      <top/>
      <bottom style="thin">
        <color rgb="FFBFC4C3"/>
      </bottom>
      <diagonal/>
    </border>
    <border diagonalUp="false" diagonalDown="false">
      <left/>
      <right/>
      <top style="medium">
        <color rgb="FF1A1E1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4C3"/>
      <rgbColor rgb="FF6E7474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05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9" customFormat="false" ht="16.5" hidden="false" customHeight="true" outlineLevel="0" collapsed="false">
      <c r="A9" s="5" t="s">
        <v>6</v>
      </c>
      <c r="B9" s="5"/>
      <c r="C9" s="5"/>
      <c r="D9" s="5"/>
    </row>
    <row r="10" customFormat="false" ht="15" hidden="false" customHeight="false" outlineLevel="0" collapsed="false">
      <c r="A10" s="6" t="s">
        <v>7</v>
      </c>
      <c r="B10" s="7" t="n">
        <v>20</v>
      </c>
      <c r="C10" s="4"/>
    </row>
    <row r="11" customFormat="false" ht="15" hidden="false" customHeight="false" outlineLevel="0" collapsed="false">
      <c r="A11" s="6" t="s">
        <v>8</v>
      </c>
      <c r="B11" s="8" t="n">
        <v>250</v>
      </c>
      <c r="C11" s="4"/>
    </row>
    <row r="12" customFormat="false" ht="15" hidden="false" customHeight="false" outlineLevel="0" collapsed="false">
      <c r="A12" s="6" t="s">
        <v>9</v>
      </c>
      <c r="B12" s="9" t="n">
        <v>0.02</v>
      </c>
      <c r="C12" s="4" t="s">
        <v>10</v>
      </c>
    </row>
    <row r="13" customFormat="false" ht="15" hidden="false" customHeight="false" outlineLevel="0" collapsed="false">
      <c r="A13" s="10" t="s">
        <v>11</v>
      </c>
      <c r="B13" s="11" t="n">
        <f aca="false">B10*B11*(1+B12)</f>
        <v>5100</v>
      </c>
    </row>
    <row r="15" customFormat="false" ht="16.5" hidden="false" customHeight="true" outlineLevel="0" collapsed="false">
      <c r="A15" s="5" t="s">
        <v>12</v>
      </c>
      <c r="B15" s="5"/>
      <c r="C15" s="5"/>
      <c r="D15" s="5"/>
    </row>
    <row r="16" customFormat="false" ht="15" hidden="false" customHeight="false" outlineLevel="0" collapsed="false">
      <c r="A16" s="6" t="s">
        <v>13</v>
      </c>
      <c r="B16" s="9" t="n">
        <v>0.75</v>
      </c>
      <c r="C16" s="4" t="s">
        <v>14</v>
      </c>
    </row>
    <row r="17" customFormat="false" ht="15" hidden="false" customHeight="false" outlineLevel="0" collapsed="false">
      <c r="A17" s="6" t="s">
        <v>15</v>
      </c>
      <c r="B17" s="12" t="n">
        <v>0.027</v>
      </c>
      <c r="C17" s="4" t="s">
        <v>16</v>
      </c>
    </row>
    <row r="18" customFormat="false" ht="15" hidden="false" customHeight="false" outlineLevel="0" collapsed="false">
      <c r="A18" s="6" t="s">
        <v>17</v>
      </c>
      <c r="B18" s="12" t="n">
        <v>0.009</v>
      </c>
      <c r="C18" s="4" t="s">
        <v>18</v>
      </c>
    </row>
    <row r="19" customFormat="false" ht="15" hidden="false" customHeight="false" outlineLevel="0" collapsed="false">
      <c r="A19" s="6" t="s">
        <v>19</v>
      </c>
      <c r="B19" s="9" t="n">
        <v>0.37</v>
      </c>
      <c r="C19" s="4" t="s">
        <v>20</v>
      </c>
    </row>
    <row r="20" customFormat="false" ht="15" hidden="false" customHeight="false" outlineLevel="0" collapsed="false">
      <c r="A20" s="6" t="s">
        <v>21</v>
      </c>
      <c r="B20" s="9" t="n">
        <v>0.55</v>
      </c>
      <c r="C20" s="4" t="s">
        <v>22</v>
      </c>
    </row>
    <row r="21" customFormat="false" ht="15" hidden="false" customHeight="false" outlineLevel="0" collapsed="false">
      <c r="A21" s="10" t="s">
        <v>23</v>
      </c>
      <c r="B21" s="11" t="n">
        <f aca="false">B13/(1+B16+B17+B19*B18)</f>
        <v>2864.63745485388</v>
      </c>
      <c r="C21" s="4" t="s">
        <v>24</v>
      </c>
    </row>
    <row r="22" customFormat="false" ht="15" hidden="false" customHeight="false" outlineLevel="0" collapsed="false">
      <c r="A22" s="6" t="s">
        <v>25</v>
      </c>
      <c r="B22" s="13" t="n">
        <f aca="false">B21*B16</f>
        <v>2148.47809114041</v>
      </c>
    </row>
    <row r="23" customFormat="false" ht="15" hidden="false" customHeight="false" outlineLevel="0" collapsed="false">
      <c r="A23" s="6" t="s">
        <v>26</v>
      </c>
      <c r="B23" s="13" t="n">
        <f aca="false">B21*B17</f>
        <v>77.3452112810547</v>
      </c>
    </row>
    <row r="25" customFormat="false" ht="16.5" hidden="false" customHeight="true" outlineLevel="0" collapsed="false">
      <c r="A25" s="5" t="s">
        <v>27</v>
      </c>
      <c r="B25" s="5"/>
      <c r="C25" s="5"/>
      <c r="D25" s="5"/>
    </row>
    <row r="26" customFormat="false" ht="15" hidden="false" customHeight="false" outlineLevel="0" collapsed="false">
      <c r="A26" s="14" t="s">
        <v>28</v>
      </c>
      <c r="B26" s="15" t="s">
        <v>29</v>
      </c>
      <c r="C26" s="15" t="s">
        <v>30</v>
      </c>
      <c r="D26" s="15" t="s">
        <v>31</v>
      </c>
    </row>
    <row r="27" customFormat="false" ht="15" hidden="false" customHeight="false" outlineLevel="0" collapsed="false">
      <c r="A27" s="6" t="s">
        <v>32</v>
      </c>
      <c r="B27" s="9" t="n">
        <v>0.1</v>
      </c>
      <c r="C27" s="9" t="n">
        <v>0</v>
      </c>
      <c r="D27" s="16" t="n">
        <f aca="false">B27+C27</f>
        <v>0.1</v>
      </c>
    </row>
    <row r="28" customFormat="false" ht="15" hidden="false" customHeight="false" outlineLevel="0" collapsed="false">
      <c r="A28" s="6" t="s">
        <v>33</v>
      </c>
      <c r="B28" s="9" t="n">
        <v>0.27</v>
      </c>
      <c r="C28" s="9" t="n">
        <v>0.28</v>
      </c>
      <c r="D28" s="16" t="n">
        <f aca="false">B28+C28</f>
        <v>0.55</v>
      </c>
    </row>
    <row r="29" customFormat="false" ht="15" hidden="false" customHeight="false" outlineLevel="0" collapsed="false">
      <c r="A29" s="6" t="s">
        <v>34</v>
      </c>
      <c r="B29" s="9" t="n">
        <v>0</v>
      </c>
      <c r="C29" s="9" t="n">
        <v>0.35</v>
      </c>
      <c r="D29" s="16" t="n">
        <f aca="false">B29+C29</f>
        <v>0.35</v>
      </c>
    </row>
    <row r="30" customFormat="false" ht="15" hidden="false" customHeight="false" outlineLevel="0" collapsed="false">
      <c r="A30" s="10" t="s">
        <v>31</v>
      </c>
      <c r="B30" s="17" t="n">
        <f aca="false">SUM(B27:B29)</f>
        <v>0.37</v>
      </c>
      <c r="C30" s="17" t="n">
        <f aca="false">SUM(C27:C29)</f>
        <v>0.63</v>
      </c>
      <c r="D30" s="17" t="n">
        <f aca="false">SUM(D27:D29)</f>
        <v>1</v>
      </c>
    </row>
    <row r="31" customFormat="false" ht="15" hidden="false" customHeight="false" outlineLevel="0" collapsed="false">
      <c r="A31" s="3" t="str">
        <f aca="false">IF(AND(ABS($B$30-$B$19)&lt;0.0001,ABS($D$30-1)&lt;0.0001),"Blend fecha: a coluna da biga bate com a fração da biga e o total dá 100%.","ATENÇÃO: o blend não fecha. A coluna Na biga tem que somar a fração da biga, e o Total tem que dar 100%.")</f>
        <v>Blend fecha: a coluna da biga bate com a fração da biga e o total dá 100%.</v>
      </c>
    </row>
    <row r="33" customFormat="false" ht="16.5" hidden="false" customHeight="true" outlineLevel="0" collapsed="false">
      <c r="A33" s="5" t="s">
        <v>35</v>
      </c>
      <c r="B33" s="5"/>
      <c r="C33" s="5"/>
      <c r="D33" s="5"/>
    </row>
    <row r="34" customFormat="false" ht="15" hidden="false" customHeight="false" outlineLevel="0" collapsed="false">
      <c r="A34" s="14" t="s">
        <v>36</v>
      </c>
      <c r="B34" s="15" t="s">
        <v>37</v>
      </c>
      <c r="C34" s="15" t="s">
        <v>38</v>
      </c>
    </row>
    <row r="35" customFormat="false" ht="15" hidden="false" customHeight="false" outlineLevel="0" collapsed="false">
      <c r="A35" s="6" t="s">
        <v>32</v>
      </c>
      <c r="B35" s="13" t="n">
        <f aca="false">$B$21*$B$27</f>
        <v>286.463745485388</v>
      </c>
      <c r="C35" s="18" t="n">
        <f aca="false">$B$27</f>
        <v>0.1</v>
      </c>
    </row>
    <row r="36" customFormat="false" ht="15" hidden="false" customHeight="false" outlineLevel="0" collapsed="false">
      <c r="A36" s="6" t="s">
        <v>33</v>
      </c>
      <c r="B36" s="13" t="n">
        <f aca="false">$B$21*$B$28</f>
        <v>773.452112810547</v>
      </c>
      <c r="C36" s="18" t="n">
        <f aca="false">$B$28</f>
        <v>0.27</v>
      </c>
    </row>
    <row r="37" customFormat="false" ht="15" hidden="false" customHeight="false" outlineLevel="0" collapsed="false">
      <c r="A37" s="6" t="s">
        <v>34</v>
      </c>
      <c r="B37" s="13" t="n">
        <f aca="false">$B$21*$B$29</f>
        <v>0</v>
      </c>
      <c r="C37" s="18" t="n">
        <f aca="false">$B$29</f>
        <v>0</v>
      </c>
    </row>
    <row r="38" customFormat="false" ht="15" hidden="false" customHeight="false" outlineLevel="0" collapsed="false">
      <c r="A38" s="6" t="s">
        <v>39</v>
      </c>
      <c r="B38" s="13" t="n">
        <f aca="false">$B$21*$B$19*$B$20</f>
        <v>582.953722062764</v>
      </c>
      <c r="C38" s="18" t="n">
        <f aca="false">$B$19*$B$20</f>
        <v>0.2035</v>
      </c>
    </row>
    <row r="39" customFormat="false" ht="15" hidden="false" customHeight="false" outlineLevel="0" collapsed="false">
      <c r="A39" s="6" t="s">
        <v>40</v>
      </c>
      <c r="B39" s="13" t="n">
        <f aca="false">$B$21*$B$19*$B$18</f>
        <v>9.53924272466341</v>
      </c>
      <c r="C39" s="18" t="n">
        <f aca="false">$B$19*$B$18</f>
        <v>0.00333</v>
      </c>
    </row>
    <row r="40" customFormat="false" ht="15" hidden="false" customHeight="false" outlineLevel="0" collapsed="false">
      <c r="A40" s="10" t="s">
        <v>41</v>
      </c>
      <c r="B40" s="19" t="n">
        <f aca="false">SUM(B35:B39)</f>
        <v>1652.40882308336</v>
      </c>
    </row>
    <row r="41" customFormat="false" ht="15" hidden="false" customHeight="false" outlineLevel="0" collapsed="false">
      <c r="A41" s="4" t="s">
        <v>42</v>
      </c>
    </row>
    <row r="43" customFormat="false" ht="16.5" hidden="false" customHeight="true" outlineLevel="0" collapsed="false">
      <c r="A43" s="5" t="s">
        <v>43</v>
      </c>
      <c r="B43" s="5"/>
      <c r="C43" s="5"/>
      <c r="D43" s="5"/>
    </row>
    <row r="44" customFormat="false" ht="15" hidden="false" customHeight="false" outlineLevel="0" collapsed="false">
      <c r="A44" s="14" t="s">
        <v>36</v>
      </c>
      <c r="B44" s="15" t="s">
        <v>37</v>
      </c>
      <c r="C44" s="15" t="s">
        <v>38</v>
      </c>
    </row>
    <row r="45" customFormat="false" ht="15" hidden="false" customHeight="false" outlineLevel="0" collapsed="false">
      <c r="A45" s="6" t="s">
        <v>44</v>
      </c>
      <c r="B45" s="13" t="n">
        <f aca="false">$B$40</f>
        <v>1652.40882308336</v>
      </c>
    </row>
    <row r="46" customFormat="false" ht="15" hidden="false" customHeight="false" outlineLevel="0" collapsed="false">
      <c r="A46" s="6" t="s">
        <v>32</v>
      </c>
      <c r="B46" s="13" t="n">
        <f aca="false">$B$21*$C$27</f>
        <v>0</v>
      </c>
      <c r="C46" s="18" t="n">
        <f aca="false">$C$27</f>
        <v>0</v>
      </c>
    </row>
    <row r="47" customFormat="false" ht="15" hidden="false" customHeight="false" outlineLevel="0" collapsed="false">
      <c r="A47" s="6" t="s">
        <v>33</v>
      </c>
      <c r="B47" s="13" t="n">
        <f aca="false">$B$21*$C$28</f>
        <v>802.098487359085</v>
      </c>
      <c r="C47" s="18" t="n">
        <f aca="false">$C$28</f>
        <v>0.28</v>
      </c>
    </row>
    <row r="48" customFormat="false" ht="15" hidden="false" customHeight="false" outlineLevel="0" collapsed="false">
      <c r="A48" s="6" t="s">
        <v>34</v>
      </c>
      <c r="B48" s="13" t="n">
        <f aca="false">$B$21*$C$29</f>
        <v>1002.62310919886</v>
      </c>
      <c r="C48" s="18" t="n">
        <f aca="false">$C$29</f>
        <v>0.35</v>
      </c>
    </row>
    <row r="49" customFormat="false" ht="15" hidden="false" customHeight="false" outlineLevel="0" collapsed="false">
      <c r="A49" s="6" t="s">
        <v>45</v>
      </c>
      <c r="B49" s="13" t="n">
        <f aca="false">$B$22-$B$21*$B$19*$B$20</f>
        <v>1565.52436907764</v>
      </c>
      <c r="C49" s="18" t="n">
        <f aca="false">$B$16-$B$19*$B$20</f>
        <v>0.5465</v>
      </c>
    </row>
    <row r="50" customFormat="false" ht="15" hidden="false" customHeight="false" outlineLevel="0" collapsed="false">
      <c r="A50" s="6" t="s">
        <v>15</v>
      </c>
      <c r="B50" s="13" t="n">
        <f aca="false">$B$23</f>
        <v>77.3452112810547</v>
      </c>
      <c r="C50" s="18" t="n">
        <f aca="false">$B$17</f>
        <v>0.027</v>
      </c>
    </row>
    <row r="51" customFormat="false" ht="15" hidden="false" customHeight="false" outlineLevel="0" collapsed="false">
      <c r="A51" s="10" t="s">
        <v>46</v>
      </c>
      <c r="B51" s="19" t="n">
        <f aca="false">SUM(B45:B50)</f>
        <v>5100</v>
      </c>
    </row>
    <row r="52" customFormat="false" ht="15" hidden="false" customHeight="false" outlineLevel="0" collapsed="false">
      <c r="A52" s="4" t="s">
        <v>47</v>
      </c>
    </row>
    <row r="54" customFormat="false" ht="16.5" hidden="false" customHeight="true" outlineLevel="0" collapsed="false">
      <c r="A54" s="5" t="s">
        <v>48</v>
      </c>
      <c r="B54" s="5"/>
      <c r="C54" s="5"/>
      <c r="D54" s="5"/>
    </row>
    <row r="55" customFormat="false" ht="15" hidden="false" customHeight="false" outlineLevel="0" collapsed="false">
      <c r="A55" s="6" t="s">
        <v>49</v>
      </c>
      <c r="B55" s="13" t="n">
        <f aca="false">B51-B13</f>
        <v>0</v>
      </c>
      <c r="C55" s="4" t="s">
        <v>50</v>
      </c>
    </row>
    <row r="56" customFormat="false" ht="15" hidden="false" customHeight="false" outlineLevel="0" collapsed="false">
      <c r="A56" s="10" t="s">
        <v>51</v>
      </c>
      <c r="B56" s="16" t="n">
        <f aca="false">($B$22-$B$21*$B$19*$B$20)/($B$21*(1-$B$19))</f>
        <v>0.867460317460318</v>
      </c>
      <c r="C56" s="4" t="s">
        <v>52</v>
      </c>
    </row>
    <row r="57" customFormat="false" ht="15" hidden="false" customHeight="false" outlineLevel="0" collapsed="false">
      <c r="A57" s="6" t="s">
        <v>53</v>
      </c>
      <c r="B57" s="20" t="n">
        <f aca="false">B19</f>
        <v>0.37</v>
      </c>
      <c r="C57" s="4" t="s">
        <v>54</v>
      </c>
    </row>
    <row r="58" customFormat="false" ht="15" hidden="false" customHeight="false" outlineLevel="0" collapsed="false">
      <c r="A58" s="6" t="s">
        <v>55</v>
      </c>
      <c r="B58" s="21" t="n">
        <f aca="false">B19*B18</f>
        <v>0.00333</v>
      </c>
      <c r="C58" s="4" t="s">
        <v>56</v>
      </c>
    </row>
    <row r="59" customFormat="false" ht="15" hidden="false" customHeight="false" outlineLevel="0" collapsed="false">
      <c r="A59" s="6" t="s">
        <v>57</v>
      </c>
      <c r="B59" s="13" t="n">
        <f aca="false">B51/B10/(1+B12)</f>
        <v>250</v>
      </c>
      <c r="C59" s="4" t="s">
        <v>58</v>
      </c>
    </row>
    <row r="60" customFormat="false" ht="15" hidden="false" customHeight="false" outlineLevel="0" collapsed="false">
      <c r="A60" s="3" t="str">
        <f aca="false">IF($B$22-$B$21*$B$19*$B$20&lt;0,"ATENÇÃO: a biga sozinha já usa mais água do que os 75% totais. Baixe a hidratação da biga ou a fração dela.",IF(($B$22-$B$21*$B$19*$B$20)/($B$21*(1-$B$19))&gt;1,"ATENÇÃO: a farinha do rinfresco passa de 100% de hidratação. Vai virar caldo, suba a hidratação da biga.","Distribuição de água viável."))</f>
        <v>Distribuição de água viável.</v>
      </c>
    </row>
    <row r="62" customFormat="false" ht="16.5" hidden="false" customHeight="true" outlineLevel="0" collapsed="false">
      <c r="A62" s="5" t="s">
        <v>59</v>
      </c>
      <c r="B62" s="5"/>
      <c r="C62" s="5"/>
      <c r="D62" s="5"/>
    </row>
    <row r="63" customFormat="false" ht="15" hidden="false" customHeight="false" outlineLevel="0" collapsed="false">
      <c r="A63" s="4" t="s">
        <v>60</v>
      </c>
    </row>
    <row r="64" customFormat="false" ht="15" hidden="false" customHeight="false" outlineLevel="0" collapsed="false">
      <c r="A64" s="4" t="s">
        <v>61</v>
      </c>
    </row>
    <row r="65" customFormat="false" ht="15" hidden="false" customHeight="false" outlineLevel="0" collapsed="false">
      <c r="A65" s="4" t="s">
        <v>62</v>
      </c>
    </row>
    <row r="66" customFormat="false" ht="15" hidden="false" customHeight="false" outlineLevel="0" collapsed="false">
      <c r="A66" s="4" t="s">
        <v>63</v>
      </c>
    </row>
    <row r="67" customFormat="false" ht="15" hidden="false" customHeight="false" outlineLevel="0" collapsed="false">
      <c r="A67" s="4" t="s">
        <v>64</v>
      </c>
    </row>
    <row r="69" customFormat="false" ht="15" hidden="false" customHeight="false" outlineLevel="0" collapsed="false">
      <c r="A69" s="4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3" customFormat="false" ht="15" hidden="false" customHeight="false" outlineLevel="0" collapsed="false">
      <c r="A3" s="4" t="s">
        <v>68</v>
      </c>
    </row>
    <row r="5" customFormat="false" ht="16.5" hidden="false" customHeight="true" outlineLevel="0" collapsed="false">
      <c r="A5" s="5" t="s">
        <v>69</v>
      </c>
      <c r="B5" s="5"/>
      <c r="C5" s="5"/>
      <c r="D5" s="5"/>
    </row>
    <row r="6" customFormat="false" ht="15" hidden="false" customHeight="false" outlineLevel="0" collapsed="false">
      <c r="A6" s="14"/>
      <c r="B6" s="15" t="s">
        <v>70</v>
      </c>
      <c r="C6" s="15" t="s">
        <v>71</v>
      </c>
      <c r="D6" s="15" t="s">
        <v>72</v>
      </c>
    </row>
    <row r="7" customFormat="false" ht="15" hidden="false" customHeight="false" outlineLevel="0" collapsed="false">
      <c r="A7" s="6" t="s">
        <v>21</v>
      </c>
      <c r="B7" s="9" t="n">
        <v>0.45</v>
      </c>
      <c r="C7" s="9" t="n">
        <v>0.55</v>
      </c>
      <c r="D7" s="9" t="n">
        <v>0.65</v>
      </c>
    </row>
    <row r="8" customFormat="false" ht="15" hidden="false" customHeight="false" outlineLevel="0" collapsed="false">
      <c r="A8" s="6" t="s">
        <v>73</v>
      </c>
      <c r="B8" s="12" t="n">
        <v>0.01</v>
      </c>
      <c r="C8" s="12" t="n">
        <v>0.009</v>
      </c>
      <c r="D8" s="12" t="n">
        <v>0.0055</v>
      </c>
    </row>
    <row r="10" customFormat="false" ht="16.5" hidden="false" customHeight="true" outlineLevel="0" collapsed="false">
      <c r="A10" s="5" t="s">
        <v>74</v>
      </c>
      <c r="B10" s="5"/>
      <c r="C10" s="5"/>
      <c r="D10" s="5"/>
    </row>
    <row r="11" customFormat="false" ht="15" hidden="false" customHeight="false" outlineLevel="0" collapsed="false">
      <c r="A11" s="14" t="s">
        <v>36</v>
      </c>
      <c r="B11" s="15" t="s">
        <v>75</v>
      </c>
      <c r="C11" s="15" t="s">
        <v>76</v>
      </c>
      <c r="D11" s="15" t="s">
        <v>77</v>
      </c>
    </row>
    <row r="12" customFormat="false" ht="15" hidden="false" customHeight="false" outlineLevel="0" collapsed="false">
      <c r="A12" s="6" t="s">
        <v>32</v>
      </c>
      <c r="B12" s="22" t="n">
        <f aca="false">(Massa!$B$13/(1+Massa!$B$16+Massa!$B$17+Massa!$B$19*B$8))*Massa!$B$27</f>
        <v>286.404223058348</v>
      </c>
      <c r="C12" s="22" t="n">
        <f aca="false">(Massa!$B$13/(1+Massa!$B$16+Massa!$B$17+Massa!$B$19*C$8))*Massa!$B$27</f>
        <v>286.463745485388</v>
      </c>
      <c r="D12" s="22" t="n">
        <f aca="false">(Massa!$B$13/(1+Massa!$B$16+Massa!$B$17+Massa!$B$19*D$8))*Massa!$B$27</f>
        <v>286.672268954799</v>
      </c>
    </row>
    <row r="13" customFormat="false" ht="15" hidden="false" customHeight="false" outlineLevel="0" collapsed="false">
      <c r="A13" s="6" t="s">
        <v>33</v>
      </c>
      <c r="B13" s="22" t="n">
        <f aca="false">(Massa!$B$13/(1+Massa!$B$16+Massa!$B$17+Massa!$B$19*B$8))*Massa!$B$28</f>
        <v>773.291402257539</v>
      </c>
      <c r="C13" s="22" t="n">
        <f aca="false">(Massa!$B$13/(1+Massa!$B$16+Massa!$B$17+Massa!$B$19*C$8))*Massa!$B$28</f>
        <v>773.452112810547</v>
      </c>
      <c r="D13" s="22" t="n">
        <f aca="false">(Massa!$B$13/(1+Massa!$B$16+Massa!$B$17+Massa!$B$19*D$8))*Massa!$B$28</f>
        <v>774.015126177956</v>
      </c>
    </row>
    <row r="14" customFormat="false" ht="15" hidden="false" customHeight="false" outlineLevel="0" collapsed="false">
      <c r="A14" s="6" t="s">
        <v>34</v>
      </c>
      <c r="B14" s="22" t="n">
        <f aca="false">(Massa!$B$13/(1+Massa!$B$16+Massa!$B$17+Massa!$B$19*B$8))*Massa!$B$29</f>
        <v>0</v>
      </c>
      <c r="C14" s="22" t="n">
        <f aca="false">(Massa!$B$13/(1+Massa!$B$16+Massa!$B$17+Massa!$B$19*C$8))*Massa!$B$29</f>
        <v>0</v>
      </c>
      <c r="D14" s="22" t="n">
        <f aca="false">(Massa!$B$13/(1+Massa!$B$16+Massa!$B$17+Massa!$B$19*D$8))*Massa!$B$29</f>
        <v>0</v>
      </c>
    </row>
    <row r="15" customFormat="false" ht="15" hidden="false" customHeight="false" outlineLevel="0" collapsed="false">
      <c r="A15" s="6" t="s">
        <v>39</v>
      </c>
      <c r="B15" s="22" t="n">
        <f aca="false">(Massa!$B$13/(1+Massa!$B$16+Massa!$B$17+Massa!$B$19*B$8))*Massa!$B$19*B$7</f>
        <v>476.863031392149</v>
      </c>
      <c r="C15" s="22" t="n">
        <f aca="false">(Massa!$B$13/(1+Massa!$B$16+Massa!$B$17+Massa!$B$19*C$8))*Massa!$B$19*C$7</f>
        <v>582.953722062764</v>
      </c>
      <c r="D15" s="22" t="n">
        <f aca="false">(Massa!$B$13/(1+Massa!$B$16+Massa!$B$17+Massa!$B$19*D$8))*Massa!$B$19*D$7</f>
        <v>689.446806836291</v>
      </c>
    </row>
    <row r="16" customFormat="false" ht="15" hidden="false" customHeight="false" outlineLevel="0" collapsed="false">
      <c r="A16" s="6" t="s">
        <v>40</v>
      </c>
      <c r="B16" s="22" t="n">
        <f aca="false">(Massa!$B$13/(1+Massa!$B$16+Massa!$B$17+Massa!$B$19*B$8))*Massa!$B$19*B$8</f>
        <v>10.5969562531589</v>
      </c>
      <c r="C16" s="22" t="n">
        <f aca="false">(Massa!$B$13/(1+Massa!$B$16+Massa!$B$17+Massa!$B$19*C$8))*Massa!$B$19*C$8</f>
        <v>9.53924272466341</v>
      </c>
      <c r="D16" s="22" t="n">
        <f aca="false">(Massa!$B$13/(1+Massa!$B$16+Massa!$B$17+Massa!$B$19*D$8))*Massa!$B$19*D$8</f>
        <v>5.83378067323015</v>
      </c>
    </row>
    <row r="17" customFormat="false" ht="15" hidden="false" customHeight="false" outlineLevel="0" collapsed="false">
      <c r="A17" s="10" t="s">
        <v>41</v>
      </c>
      <c r="B17" s="19" t="n">
        <f aca="false">SUM(B12:B16)</f>
        <v>1547.1556129612</v>
      </c>
      <c r="C17" s="19" t="n">
        <f aca="false">SUM(C12:C16)</f>
        <v>1652.40882308336</v>
      </c>
      <c r="D17" s="19" t="n">
        <f aca="false">SUM(D12:D16)</f>
        <v>1755.96798264228</v>
      </c>
    </row>
    <row r="18" customFormat="false" ht="15" hidden="false" customHeight="false" outlineLevel="0" collapsed="false">
      <c r="A18" s="6" t="s">
        <v>32</v>
      </c>
      <c r="B18" s="22" t="n">
        <f aca="false">(Massa!$B$13/(1+Massa!$B$16+Massa!$B$17+Massa!$B$19*B$8))*Massa!$C$27</f>
        <v>0</v>
      </c>
      <c r="C18" s="22" t="n">
        <f aca="false">(Massa!$B$13/(1+Massa!$B$16+Massa!$B$17+Massa!$B$19*C$8))*Massa!$C$27</f>
        <v>0</v>
      </c>
      <c r="D18" s="22" t="n">
        <f aca="false">(Massa!$B$13/(1+Massa!$B$16+Massa!$B$17+Massa!$B$19*D$8))*Massa!$C$27</f>
        <v>0</v>
      </c>
    </row>
    <row r="19" customFormat="false" ht="15" hidden="false" customHeight="false" outlineLevel="0" collapsed="false">
      <c r="A19" s="6" t="s">
        <v>33</v>
      </c>
      <c r="B19" s="22" t="n">
        <f aca="false">(Massa!$B$13/(1+Massa!$B$16+Massa!$B$17+Massa!$B$19*B$8))*Massa!$C$28</f>
        <v>801.931824563374</v>
      </c>
      <c r="C19" s="22" t="n">
        <f aca="false">(Massa!$B$13/(1+Massa!$B$16+Massa!$B$17+Massa!$B$19*C$8))*Massa!$C$28</f>
        <v>802.098487359085</v>
      </c>
      <c r="D19" s="22" t="n">
        <f aca="false">(Massa!$B$13/(1+Massa!$B$16+Massa!$B$17+Massa!$B$19*D$8))*Massa!$C$28</f>
        <v>802.682353073436</v>
      </c>
    </row>
    <row r="20" customFormat="false" ht="15" hidden="false" customHeight="false" outlineLevel="0" collapsed="false">
      <c r="A20" s="6" t="s">
        <v>34</v>
      </c>
      <c r="B20" s="22" t="n">
        <f aca="false">(Massa!$B$13/(1+Massa!$B$16+Massa!$B$17+Massa!$B$19*B$8))*Massa!$C$29</f>
        <v>1002.41478070422</v>
      </c>
      <c r="C20" s="22" t="n">
        <f aca="false">(Massa!$B$13/(1+Massa!$B$16+Massa!$B$17+Massa!$B$19*C$8))*Massa!$C$29</f>
        <v>1002.62310919886</v>
      </c>
      <c r="D20" s="22" t="n">
        <f aca="false">(Massa!$B$13/(1+Massa!$B$16+Massa!$B$17+Massa!$B$19*D$8))*Massa!$C$29</f>
        <v>1003.35294134179</v>
      </c>
    </row>
    <row r="21" customFormat="false" ht="15" hidden="false" customHeight="false" outlineLevel="0" collapsed="false">
      <c r="A21" s="6" t="s">
        <v>45</v>
      </c>
      <c r="B21" s="22" t="n">
        <f aca="false">(Massa!$B$13/(1+Massa!$B$16+Massa!$B$17+Massa!$B$19*B$8))*(Massa!$B$16-Massa!$B$19*B$7)</f>
        <v>1671.16864154546</v>
      </c>
      <c r="C21" s="22" t="n">
        <f aca="false">(Massa!$B$13/(1+Massa!$B$16+Massa!$B$17+Massa!$B$19*C$8))*(Massa!$B$16-Massa!$B$19*C$7)</f>
        <v>1565.52436907764</v>
      </c>
      <c r="D21" s="22" t="n">
        <f aca="false">(Massa!$B$13/(1+Massa!$B$16+Massa!$B$17+Massa!$B$19*D$8))*(Massa!$B$16-Massa!$B$19*D$7)</f>
        <v>1460.5952103247</v>
      </c>
    </row>
    <row r="22" customFormat="false" ht="15" hidden="false" customHeight="false" outlineLevel="0" collapsed="false">
      <c r="A22" s="6" t="s">
        <v>15</v>
      </c>
      <c r="B22" s="22" t="n">
        <f aca="false">(Massa!$B$13/(1+Massa!$B$16+Massa!$B$17+Massa!$B$19*B$8))*Massa!$B$17</f>
        <v>77.3291402257539</v>
      </c>
      <c r="C22" s="22" t="n">
        <f aca="false">(Massa!$B$13/(1+Massa!$B$16+Massa!$B$17+Massa!$B$19*C$8))*Massa!$B$17</f>
        <v>77.3452112810547</v>
      </c>
      <c r="D22" s="22" t="n">
        <f aca="false">(Massa!$B$13/(1+Massa!$B$16+Massa!$B$17+Massa!$B$19*D$8))*Massa!$B$17</f>
        <v>77.4015126177956</v>
      </c>
    </row>
    <row r="23" customFormat="false" ht="15" hidden="false" customHeight="false" outlineLevel="0" collapsed="false">
      <c r="A23" s="10" t="s">
        <v>46</v>
      </c>
      <c r="B23" s="19" t="n">
        <f aca="false">B17+SUM(B18:B22)</f>
        <v>5100</v>
      </c>
      <c r="C23" s="19" t="n">
        <f aca="false">C17+SUM(C18:C22)</f>
        <v>5100</v>
      </c>
      <c r="D23" s="19" t="n">
        <f aca="false">D17+SUM(D18:D22)</f>
        <v>5100</v>
      </c>
    </row>
    <row r="25" customFormat="false" ht="16.5" hidden="false" customHeight="true" outlineLevel="0" collapsed="false">
      <c r="A25" s="5" t="s">
        <v>78</v>
      </c>
      <c r="B25" s="5"/>
      <c r="C25" s="5"/>
      <c r="D25" s="5"/>
    </row>
    <row r="26" customFormat="false" ht="15" hidden="false" customHeight="false" outlineLevel="0" collapsed="false">
      <c r="A26" s="14"/>
      <c r="B26" s="15" t="s">
        <v>75</v>
      </c>
      <c r="C26" s="15" t="s">
        <v>76</v>
      </c>
      <c r="D26" s="15" t="s">
        <v>77</v>
      </c>
    </row>
    <row r="27" customFormat="false" ht="15" hidden="false" customHeight="false" outlineLevel="0" collapsed="false">
      <c r="A27" s="10" t="s">
        <v>51</v>
      </c>
      <c r="B27" s="16" t="n">
        <f aca="false">(Massa!$B$16-Massa!$B$19*B$7)/(1-Massa!$B$19)</f>
        <v>0.926190476190476</v>
      </c>
      <c r="C27" s="16" t="n">
        <f aca="false">(Massa!$B$16-Massa!$B$19*C$7)/(1-Massa!$B$19)</f>
        <v>0.867460317460318</v>
      </c>
      <c r="D27" s="16" t="n">
        <f aca="false">(Massa!$B$16-Massa!$B$19*D$7)/(1-Massa!$B$19)</f>
        <v>0.808730158730159</v>
      </c>
    </row>
    <row r="28" customFormat="false" ht="15" hidden="false" customHeight="false" outlineLevel="0" collapsed="false">
      <c r="A28" s="6" t="s">
        <v>79</v>
      </c>
      <c r="B28" s="13" t="n">
        <f aca="false">(Massa!$B$13/(1+Massa!$B$16+Massa!$B$17+Massa!$B$19*B$8))*Massa!$B$19*B$7</f>
        <v>476.863031392149</v>
      </c>
      <c r="C28" s="13" t="n">
        <f aca="false">(Massa!$B$13/(1+Massa!$B$16+Massa!$B$17+Massa!$B$19*C$8))*Massa!$B$19*C$7</f>
        <v>582.953722062764</v>
      </c>
      <c r="D28" s="13" t="n">
        <f aca="false">(Massa!$B$13/(1+Massa!$B$16+Massa!$B$17+Massa!$B$19*D$8))*Massa!$B$19*D$7</f>
        <v>689.446806836291</v>
      </c>
    </row>
    <row r="29" customFormat="false" ht="15" hidden="false" customHeight="false" outlineLevel="0" collapsed="false">
      <c r="A29" s="6" t="s">
        <v>80</v>
      </c>
      <c r="B29" s="13" t="n">
        <f aca="false">(Massa!$B$13/(1+Massa!$B$16+Massa!$B$17+Massa!$B$19*B$8))*(Massa!$B$16-Massa!$B$19*B$7)</f>
        <v>1671.16864154546</v>
      </c>
      <c r="C29" s="13" t="n">
        <f aca="false">(Massa!$B$13/(1+Massa!$B$16+Massa!$B$17+Massa!$B$19*C$8))*(Massa!$B$16-Massa!$B$19*C$7)</f>
        <v>1565.52436907764</v>
      </c>
      <c r="D29" s="13" t="n">
        <f aca="false">(Massa!$B$13/(1+Massa!$B$16+Massa!$B$17+Massa!$B$19*D$8))*(Massa!$B$16-Massa!$B$19*D$7)</f>
        <v>1460.5952103247</v>
      </c>
    </row>
    <row r="30" customFormat="false" ht="15" hidden="false" customHeight="false" outlineLevel="0" collapsed="false">
      <c r="A30" s="6" t="s">
        <v>55</v>
      </c>
      <c r="B30" s="21" t="n">
        <f aca="false">Massa!$B$19*B$8</f>
        <v>0.0037</v>
      </c>
      <c r="C30" s="21" t="n">
        <f aca="false">Massa!$B$19*C$8</f>
        <v>0.00333</v>
      </c>
      <c r="D30" s="21" t="n">
        <f aca="false">Massa!$B$19*D$8</f>
        <v>0.002035</v>
      </c>
    </row>
    <row r="32" customFormat="false" ht="15" hidden="false" customHeight="false" outlineLevel="0" collapsed="false">
      <c r="A32" s="4" t="s">
        <v>81</v>
      </c>
    </row>
    <row r="34" customFormat="false" ht="15" hidden="false" customHeight="false" outlineLevel="0" collapsed="false">
      <c r="A34" s="4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2026-08-06T00:13:45Z</dcterms:created>
  <dc:creator>openpyxl</dc:creator>
  <dc:description/>
  <dc:language>en-US</dc:language>
  <cp:lastModifiedBy/>
  <dcterms:modified xsi:type="dcterms:W3CDTF">2026-08-06T00:13:45Z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