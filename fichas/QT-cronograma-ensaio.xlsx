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De trás para fren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<sst xmlns="http://schemas.openxmlformats.org/spreadsheetml/2006/main" count="99" uniqueCount="71">
  <si>
    <t xml:space="preserve">QT PIZZA BAR · ENSAIO DE PRÉ-FERMENTOS</t>
  </si>
  <si>
    <t xml:space="preserve">Cronograma automático · braço B (biga a 55%) e braço C (biga a 65%)</t>
  </si>
  <si>
    <t xml:space="preserve">COMO USAR</t>
  </si>
  <si>
    <t xml:space="preserve">Edite só as células amarelas. Mude a hora da mistura da biga e todo o cronograma daquele braço se recalcula.</t>
  </si>
  <si>
    <t xml:space="preserve">Células cinza são para anotar à mão durante a produção: hora real e pH medido.</t>
  </si>
  <si>
    <t xml:space="preserve">Durações no formato h:mm, por exemplo 19:30 para dezenove horas e meia. Mistura no formato dia/mês hora:minuto.</t>
  </si>
  <si>
    <t xml:space="preserve">  PARÂMETROS · o que você edita</t>
  </si>
  <si>
    <t xml:space="preserve">Parâmetro</t>
  </si>
  <si>
    <t xml:space="preserve">B · Morbida 55%</t>
  </si>
  <si>
    <t xml:space="preserve">C · Umida 65%</t>
  </si>
  <si>
    <t xml:space="preserve">Observação</t>
  </si>
  <si>
    <t xml:space="preserve">Mistura da biga</t>
  </si>
  <si>
    <t xml:space="preserve">editável, dispara todo o resto</t>
  </si>
  <si>
    <t xml:space="preserve">Arranque a 20 °C</t>
  </si>
  <si>
    <t xml:space="preserve">antes de ir para o frio</t>
  </si>
  <si>
    <t xml:space="preserve">Câmara a 4 °C</t>
  </si>
  <si>
    <t xml:space="preserve">encurtada na revisão 2 para caber no horário</t>
  </si>
  <si>
    <t xml:space="preserve">Risveglio a 21 °C</t>
  </si>
  <si>
    <t xml:space="preserve">compensa a câmara mais curta</t>
  </si>
  <si>
    <t xml:space="preserve">Mistura do rinfresco</t>
  </si>
  <si>
    <t xml:space="preserve">água a fio, sal na última adição</t>
  </si>
  <si>
    <t xml:space="preserve">Puntata a 22 a 24 °C</t>
  </si>
  <si>
    <t xml:space="preserve">absorve a diferença entre os dois braços</t>
  </si>
  <si>
    <t xml:space="preserve">Appretto a 18 °C</t>
  </si>
  <si>
    <t xml:space="preserve">igual nos dois braços, de propósito</t>
  </si>
  <si>
    <t xml:space="preserve">Checagem 1, horas de câmara</t>
  </si>
  <si>
    <t xml:space="preserve">leitura no testemunho de 200 g</t>
  </si>
  <si>
    <t xml:space="preserve">Checagem 2, horas de câmara</t>
  </si>
  <si>
    <t xml:space="preserve">Total, da mistura ao forno</t>
  </si>
  <si>
    <t xml:space="preserve">soma das durações, sem contar as checagens</t>
  </si>
  <si>
    <t xml:space="preserve">  CRONOGRAMA · BRAÇO B · BIGA A 55% · FERMENTO 0,9%</t>
  </si>
  <si>
    <t xml:space="preserve">Etapa</t>
  </si>
  <si>
    <t xml:space="preserve">Previsto</t>
  </si>
  <si>
    <t xml:space="preserve">Hora real</t>
  </si>
  <si>
    <t xml:space="preserve">pH observado</t>
  </si>
  <si>
    <t xml:space="preserve">Entra na câmara a 4 °C</t>
  </si>
  <si>
    <t xml:space="preserve">Checagem 1</t>
  </si>
  <si>
    <t xml:space="preserve">Checagem 2</t>
  </si>
  <si>
    <t xml:space="preserve">Sai da câmara</t>
  </si>
  <si>
    <t xml:space="preserve">Rinfresco, início</t>
  </si>
  <si>
    <t xml:space="preserve">Rinfresco, fim da mistura</t>
  </si>
  <si>
    <t xml:space="preserve">Staglio, 6 × 290 g</t>
  </si>
  <si>
    <t xml:space="preserve">Forno</t>
  </si>
  <si>
    <t xml:space="preserve">  CRONOGRAMA · BRAÇO C · BIGA A 65% · FERMENTO 0,55%</t>
  </si>
  <si>
    <t xml:space="preserve">  CONVERGÊNCIA · as duas precisam assar no mesmo horário</t>
  </si>
  <si>
    <t xml:space="preserve">Forno do braço B</t>
  </si>
  <si>
    <t xml:space="preserve">Forno do braço C</t>
  </si>
  <si>
    <t xml:space="preserve">Diferença</t>
  </si>
  <si>
    <t xml:space="preserve">Situação</t>
  </si>
  <si>
    <t xml:space="preserve">Para C assar junto com B, bata a biga C às</t>
  </si>
  <si>
    <t xml:space="preserve">copie o valor para a célula B11 ou C11 e o cronograma se realinha</t>
  </si>
  <si>
    <t xml:space="preserve">Para B assar junto com C, bata a biga B às</t>
  </si>
  <si>
    <t xml:space="preserve">Quando os dois braços fecham no mesmo minuto está certo. Os 4 minutos entre as infornatas na folha 3 são a ordem de entrada no forno, não diferença de cronograma.</t>
  </si>
  <si>
    <t xml:space="preserve">EXEMPLO DE PREENCHIMENTO DAS COLUNAS CINZA</t>
  </si>
  <si>
    <t xml:space="preserve">previsto qui 06/08 11:00</t>
  </si>
  <si>
    <t xml:space="preserve">Anote só o relógio na coluna Hora real, sem a data. pH com duas casas.</t>
  </si>
  <si>
    <t xml:space="preserve">  NOTAS QUE NÃO PODEM SUMIR NA PASSAGEM PARA PLANILHA</t>
  </si>
  <si>
    <t xml:space="preserve">· Appretto igual nos dois braços é decisão de desenho. Se as bolas não estiverem prontas, atrase o forno, nunca encurte o appretto.</t>
  </si>
  <si>
    <t xml:space="preserve">· pH sempre em suspensão de 10 g de biga em 100 mL de água destilada a 20 °C. Espeto direto na massa firme dá ruído, não sinal.</t>
  </si>
  <si>
    <t xml:space="preserve">· Chegou cedo ao ponto, baixe a câmara para 2 °C. Está atrasada, suba o risveglio de 21 °C para 24 a 26 °C.</t>
  </si>
  <si>
    <t xml:space="preserve">· O risveglio mais longo recupera o pH, não o platô. As duas perdem profundidade aromática em proporção parecida, então a comparação segue de pé.</t>
  </si>
  <si>
    <t xml:space="preserve">· Sem o braço A, anote a biga a 50% que você já faz como referência, senão você compara 55 contra 65 sem âncora.</t>
  </si>
  <si>
    <t xml:space="preserve">· Hidratação final de 75% nos dois braços. Fermento fresco de 0,9% em B e 0,55% em C, sobre a farinha.</t>
  </si>
  <si>
    <t xml:space="preserve">Fonte das durações e das doses: caderno QT-ensaio-pre-fermentos, revisão 2. Horários de mistura e de forno definidos por Matheus.</t>
  </si>
  <si>
    <t xml:space="preserve">A QUE HORA BATER CADA BIGA</t>
  </si>
  <si>
    <t xml:space="preserve">Você informa a hora do forno e a planilha devolve os horários. Usa as mesmas durações da aba Cronograma.</t>
  </si>
  <si>
    <t xml:space="preserve">Forno desejado</t>
  </si>
  <si>
    <t xml:space="preserve">editável</t>
  </si>
  <si>
    <t xml:space="preserve">  HORÁRIOS CALCULADOS DE TRÁS PARA FRENTE</t>
  </si>
  <si>
    <t xml:space="preserve">A última linha tem que bater exatamente com o forno desejado. Se não bater, alguma duração da aba Cronograma foi editada no meio do caminho.</t>
  </si>
  <si>
    <t xml:space="preserve">Verde indica valor que vem da aba Cronograma. Azul é o que você digita.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</si>
</sst>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dd/mm\ hh:mm"/>
    <numFmt numFmtId="166" formatCode="[h]:mm"/>
    <numFmt numFmtId="167" formatCode="hh:mm"/>
    <numFmt numFmtId="168" formatCode="0.00"/>
    <numFmt numFmtId="169" formatCode="0&quot; min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E1E"/>
      <name val="Arial"/>
      <family val="0"/>
      <charset val="1"/>
    </font>
    <font>
      <sz val="10"/>
      <color rgb="FF6E7474"/>
      <name val="Arial"/>
      <family val="0"/>
      <charset val="1"/>
    </font>
    <font>
      <b val="true"/>
      <sz val="9"/>
      <color rgb="FF1A1E1E"/>
      <name val="Arial"/>
      <family val="0"/>
      <charset val="1"/>
    </font>
    <font>
      <sz val="9"/>
      <color rgb="FF4A505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A1E1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A1E1E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E1E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FFE4E1E0"/>
        <bgColor rgb="FFCC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C4C3"/>
      </bottom>
      <diagonal/>
    </border>
    <border diagonalUp="false" diagonalDown="false">
      <left style="thin">
        <color rgb="FFBFC4C3"/>
      </left>
      <right style="thin">
        <color rgb="FFBFC4C3"/>
      </right>
      <top style="thin">
        <color rgb="FFBFC4C3"/>
      </top>
      <bottom style="thin">
        <color rgb="FFBFC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4C3"/>
      <rgbColor rgb="FF6E7474"/>
      <rgbColor rgb="FF9999FF"/>
      <rgbColor rgb="FF993366"/>
      <rgbColor rgb="FFFFFFCC"/>
      <rgbColor rgb="FFCCFFFF"/>
      <rgbColor rgb="FF660066"/>
      <rgbColor rgb="FFFF8080"/>
      <rgbColor rgb="FF0066CC"/>
      <rgbColor rgb="FFE4E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05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6.5" hidden="false" customHeight="true" outlineLevel="0" collapsed="false">
      <c r="A9" s="5" t="s">
        <v>6</v>
      </c>
      <c r="B9" s="5"/>
      <c r="C9" s="5"/>
      <c r="D9" s="5"/>
    </row>
    <row r="10" customFormat="false" ht="15" hidden="false" customHeight="false" outlineLevel="0" collapsed="false">
      <c r="A10" s="6" t="s">
        <v>7</v>
      </c>
      <c r="B10" s="6" t="s">
        <v>8</v>
      </c>
      <c r="C10" s="6" t="s">
        <v>9</v>
      </c>
      <c r="D10" s="6" t="s">
        <v>10</v>
      </c>
    </row>
    <row r="11" customFormat="false" ht="15" hidden="false" customHeight="false" outlineLevel="0" collapsed="false">
      <c r="A11" s="7" t="s">
        <v>11</v>
      </c>
      <c r="B11" s="8" t="n">
        <v>46239.6041666667</v>
      </c>
      <c r="C11" s="8" t="n">
        <v>46239.9270833333</v>
      </c>
      <c r="D11" s="4" t="s">
        <v>12</v>
      </c>
    </row>
    <row r="12" customFormat="false" ht="15" hidden="false" customHeight="false" outlineLevel="0" collapsed="false">
      <c r="A12" s="7" t="s">
        <v>13</v>
      </c>
      <c r="B12" s="9" t="n">
        <v>0.0416666666666667</v>
      </c>
      <c r="C12" s="9" t="n">
        <v>0.03125</v>
      </c>
      <c r="D12" s="4" t="s">
        <v>14</v>
      </c>
    </row>
    <row r="13" customFormat="false" ht="15" hidden="false" customHeight="false" outlineLevel="0" collapsed="false">
      <c r="A13" s="7" t="s">
        <v>15</v>
      </c>
      <c r="B13" s="9" t="n">
        <v>0.8125</v>
      </c>
      <c r="C13" s="9" t="n">
        <v>0.625</v>
      </c>
      <c r="D13" s="4" t="s">
        <v>16</v>
      </c>
    </row>
    <row r="14" customFormat="false" ht="15" hidden="false" customHeight="false" outlineLevel="0" collapsed="false">
      <c r="A14" s="7" t="s">
        <v>17</v>
      </c>
      <c r="B14" s="9" t="n">
        <v>0.125</v>
      </c>
      <c r="C14" s="9" t="n">
        <v>0.0833333333333333</v>
      </c>
      <c r="D14" s="4" t="s">
        <v>18</v>
      </c>
    </row>
    <row r="15" customFormat="false" ht="15" hidden="false" customHeight="false" outlineLevel="0" collapsed="false">
      <c r="A15" s="7" t="s">
        <v>19</v>
      </c>
      <c r="B15" s="9" t="n">
        <v>0.0138888888888889</v>
      </c>
      <c r="C15" s="9" t="n">
        <v>0.0138888888888889</v>
      </c>
      <c r="D15" s="4" t="s">
        <v>20</v>
      </c>
    </row>
    <row r="16" customFormat="false" ht="15" hidden="false" customHeight="false" outlineLevel="0" collapsed="false">
      <c r="A16" s="7" t="s">
        <v>21</v>
      </c>
      <c r="B16" s="9" t="n">
        <v>0.121527777777778</v>
      </c>
      <c r="C16" s="9" t="n">
        <v>0.0381944444444445</v>
      </c>
      <c r="D16" s="4" t="s">
        <v>22</v>
      </c>
    </row>
    <row r="17" customFormat="false" ht="15" hidden="false" customHeight="false" outlineLevel="0" collapsed="false">
      <c r="A17" s="7" t="s">
        <v>23</v>
      </c>
      <c r="B17" s="9" t="n">
        <v>0.197916666666667</v>
      </c>
      <c r="C17" s="9" t="n">
        <v>0.197916666666667</v>
      </c>
      <c r="D17" s="4" t="s">
        <v>24</v>
      </c>
    </row>
    <row r="18" customFormat="false" ht="15" hidden="false" customHeight="false" outlineLevel="0" collapsed="false">
      <c r="A18" s="7" t="s">
        <v>25</v>
      </c>
      <c r="B18" s="9" t="n">
        <v>0.3125</v>
      </c>
      <c r="C18" s="9" t="n">
        <v>0.333333333333333</v>
      </c>
      <c r="D18" s="4" t="s">
        <v>26</v>
      </c>
    </row>
    <row r="19" customFormat="false" ht="15" hidden="false" customHeight="false" outlineLevel="0" collapsed="false">
      <c r="A19" s="7" t="s">
        <v>27</v>
      </c>
      <c r="B19" s="9" t="n">
        <v>0.6875</v>
      </c>
      <c r="C19" s="9" t="n">
        <v>0.541666666666667</v>
      </c>
      <c r="D19" s="4" t="s">
        <v>26</v>
      </c>
    </row>
    <row r="20" customFormat="false" ht="15" hidden="false" customHeight="false" outlineLevel="0" collapsed="false">
      <c r="A20" s="10" t="s">
        <v>28</v>
      </c>
      <c r="B20" s="11" t="n">
        <f aca="false">SUM(B12:B17)</f>
        <v>1.3125</v>
      </c>
      <c r="C20" s="11" t="n">
        <f aca="false">SUM(C12:C17)</f>
        <v>0.989583333333333</v>
      </c>
      <c r="D20" s="4" t="s">
        <v>29</v>
      </c>
    </row>
    <row r="22" customFormat="false" ht="16.5" hidden="false" customHeight="true" outlineLevel="0" collapsed="false">
      <c r="A22" s="5" t="s">
        <v>30</v>
      </c>
      <c r="B22" s="5"/>
      <c r="C22" s="5"/>
      <c r="D22" s="5"/>
    </row>
    <row r="23" customFormat="false" ht="15" hidden="false" customHeight="false" outlineLevel="0" collapsed="false">
      <c r="A23" s="6" t="s">
        <v>31</v>
      </c>
      <c r="B23" s="6" t="s">
        <v>32</v>
      </c>
      <c r="C23" s="6" t="s">
        <v>33</v>
      </c>
      <c r="D23" s="6" t="s">
        <v>34</v>
      </c>
    </row>
    <row r="24" customFormat="false" ht="15" hidden="false" customHeight="false" outlineLevel="0" collapsed="false">
      <c r="A24" s="7" t="s">
        <v>11</v>
      </c>
      <c r="B24" s="12" t="n">
        <f aca="false">IF($B$11="","",$B$11)</f>
        <v>46239.6041666667</v>
      </c>
      <c r="C24" s="13"/>
      <c r="D24" s="14"/>
    </row>
    <row r="25" customFormat="false" ht="15" hidden="false" customHeight="false" outlineLevel="0" collapsed="false">
      <c r="A25" s="7" t="s">
        <v>35</v>
      </c>
      <c r="B25" s="12" t="n">
        <f aca="false">IF($B24="","",$B24+$B$12)</f>
        <v>46239.6458333333</v>
      </c>
      <c r="C25" s="13"/>
      <c r="D25" s="14"/>
    </row>
    <row r="26" customFormat="false" ht="15" hidden="false" customHeight="false" outlineLevel="0" collapsed="false">
      <c r="A26" s="7" t="s">
        <v>36</v>
      </c>
      <c r="B26" s="12" t="n">
        <f aca="false">IF($B25="","",$B25+$B$18)</f>
        <v>46239.9583333333</v>
      </c>
      <c r="C26" s="13"/>
      <c r="D26" s="14"/>
    </row>
    <row r="27" customFormat="false" ht="15" hidden="false" customHeight="false" outlineLevel="0" collapsed="false">
      <c r="A27" s="7" t="s">
        <v>37</v>
      </c>
      <c r="B27" s="12" t="n">
        <f aca="false">IF($B25="","",$B25+$B$19)</f>
        <v>46240.3333333333</v>
      </c>
      <c r="C27" s="13"/>
      <c r="D27" s="14"/>
    </row>
    <row r="28" customFormat="false" ht="15" hidden="false" customHeight="false" outlineLevel="0" collapsed="false">
      <c r="A28" s="10" t="s">
        <v>38</v>
      </c>
      <c r="B28" s="15" t="n">
        <f aca="false">IF($B25="","",$B25+$B$13)</f>
        <v>46240.4583333333</v>
      </c>
      <c r="C28" s="13"/>
      <c r="D28" s="14"/>
    </row>
    <row r="29" customFormat="false" ht="15" hidden="false" customHeight="false" outlineLevel="0" collapsed="false">
      <c r="A29" s="10" t="s">
        <v>39</v>
      </c>
      <c r="B29" s="15" t="n">
        <f aca="false">IF($B28="","",$B28+$B$14)</f>
        <v>46240.5833333333</v>
      </c>
      <c r="C29" s="13"/>
      <c r="D29" s="14"/>
    </row>
    <row r="30" customFormat="false" ht="15" hidden="false" customHeight="false" outlineLevel="0" collapsed="false">
      <c r="A30" s="7" t="s">
        <v>40</v>
      </c>
      <c r="B30" s="12" t="n">
        <f aca="false">IF($B29="","",$B29+$B$15)</f>
        <v>46240.5972222222</v>
      </c>
      <c r="C30" s="13"/>
      <c r="D30" s="14"/>
    </row>
    <row r="31" customFormat="false" ht="15" hidden="false" customHeight="false" outlineLevel="0" collapsed="false">
      <c r="A31" s="7" t="s">
        <v>41</v>
      </c>
      <c r="B31" s="12" t="n">
        <f aca="false">IF($B30="","",$B30+$B$16)</f>
        <v>46240.71875</v>
      </c>
      <c r="C31" s="13"/>
      <c r="D31" s="14"/>
    </row>
    <row r="32" customFormat="false" ht="15" hidden="false" customHeight="false" outlineLevel="0" collapsed="false">
      <c r="A32" s="10" t="s">
        <v>42</v>
      </c>
      <c r="B32" s="15" t="n">
        <f aca="false">IF($B31="","",$B31+$B$17)</f>
        <v>46240.9166666667</v>
      </c>
      <c r="C32" s="13"/>
      <c r="D32" s="14"/>
    </row>
    <row r="34" customFormat="false" ht="16.5" hidden="false" customHeight="true" outlineLevel="0" collapsed="false">
      <c r="A34" s="5" t="s">
        <v>43</v>
      </c>
      <c r="B34" s="5"/>
      <c r="C34" s="5"/>
      <c r="D34" s="5"/>
    </row>
    <row r="35" customFormat="false" ht="15" hidden="false" customHeight="false" outlineLevel="0" collapsed="false">
      <c r="A35" s="6" t="s">
        <v>31</v>
      </c>
      <c r="B35" s="6" t="s">
        <v>32</v>
      </c>
      <c r="C35" s="6" t="s">
        <v>33</v>
      </c>
      <c r="D35" s="6" t="s">
        <v>34</v>
      </c>
    </row>
    <row r="36" customFormat="false" ht="15" hidden="false" customHeight="false" outlineLevel="0" collapsed="false">
      <c r="A36" s="7" t="s">
        <v>11</v>
      </c>
      <c r="B36" s="12" t="n">
        <f aca="false">IF($C$11="","",$C$11)</f>
        <v>46239.9270833333</v>
      </c>
      <c r="C36" s="13"/>
      <c r="D36" s="14"/>
    </row>
    <row r="37" customFormat="false" ht="15" hidden="false" customHeight="false" outlineLevel="0" collapsed="false">
      <c r="A37" s="7" t="s">
        <v>35</v>
      </c>
      <c r="B37" s="12" t="n">
        <f aca="false">IF($B36="","",$B36+$C$12)</f>
        <v>46239.9583333333</v>
      </c>
      <c r="C37" s="13"/>
      <c r="D37" s="14"/>
    </row>
    <row r="38" customFormat="false" ht="15" hidden="false" customHeight="false" outlineLevel="0" collapsed="false">
      <c r="A38" s="7" t="s">
        <v>36</v>
      </c>
      <c r="B38" s="12" t="n">
        <f aca="false">IF($B37="","",$B37+$C$18)</f>
        <v>46240.2916666667</v>
      </c>
      <c r="C38" s="13"/>
      <c r="D38" s="14"/>
    </row>
    <row r="39" customFormat="false" ht="15" hidden="false" customHeight="false" outlineLevel="0" collapsed="false">
      <c r="A39" s="7" t="s">
        <v>37</v>
      </c>
      <c r="B39" s="12" t="n">
        <f aca="false">IF($B37="","",$B37+$C$19)</f>
        <v>46240.5</v>
      </c>
      <c r="C39" s="13"/>
      <c r="D39" s="14"/>
    </row>
    <row r="40" customFormat="false" ht="15" hidden="false" customHeight="false" outlineLevel="0" collapsed="false">
      <c r="A40" s="10" t="s">
        <v>38</v>
      </c>
      <c r="B40" s="15" t="n">
        <f aca="false">IF($B37="","",$B37+$C$13)</f>
        <v>46240.5833333333</v>
      </c>
      <c r="C40" s="13"/>
      <c r="D40" s="14"/>
    </row>
    <row r="41" customFormat="false" ht="15" hidden="false" customHeight="false" outlineLevel="0" collapsed="false">
      <c r="A41" s="10" t="s">
        <v>39</v>
      </c>
      <c r="B41" s="15" t="n">
        <f aca="false">IF($B40="","",$B40+$C$14)</f>
        <v>46240.6666666667</v>
      </c>
      <c r="C41" s="13"/>
      <c r="D41" s="14"/>
    </row>
    <row r="42" customFormat="false" ht="15" hidden="false" customHeight="false" outlineLevel="0" collapsed="false">
      <c r="A42" s="7" t="s">
        <v>40</v>
      </c>
      <c r="B42" s="12" t="n">
        <f aca="false">IF($B41="","",$B41+$C$15)</f>
        <v>46240.6805555556</v>
      </c>
      <c r="C42" s="13"/>
      <c r="D42" s="14"/>
    </row>
    <row r="43" customFormat="false" ht="15" hidden="false" customHeight="false" outlineLevel="0" collapsed="false">
      <c r="A43" s="7" t="s">
        <v>41</v>
      </c>
      <c r="B43" s="12" t="n">
        <f aca="false">IF($B42="","",$B42+$C$16)</f>
        <v>46240.71875</v>
      </c>
      <c r="C43" s="13"/>
      <c r="D43" s="14"/>
    </row>
    <row r="44" customFormat="false" ht="15" hidden="false" customHeight="false" outlineLevel="0" collapsed="false">
      <c r="A44" s="10" t="s">
        <v>42</v>
      </c>
      <c r="B44" s="15" t="n">
        <f aca="false">IF($B43="","",$B43+$C$17)</f>
        <v>46240.9166666667</v>
      </c>
      <c r="C44" s="13"/>
      <c r="D44" s="14"/>
    </row>
    <row r="46" customFormat="false" ht="16.5" hidden="false" customHeight="true" outlineLevel="0" collapsed="false">
      <c r="A46" s="5" t="s">
        <v>44</v>
      </c>
      <c r="B46" s="5"/>
      <c r="C46" s="5"/>
      <c r="D46" s="5"/>
    </row>
    <row r="47" customFormat="false" ht="15" hidden="false" customHeight="false" outlineLevel="0" collapsed="false">
      <c r="A47" s="7" t="s">
        <v>45</v>
      </c>
      <c r="B47" s="16" t="n">
        <f aca="false">$B$32</f>
        <v>46240.9166666667</v>
      </c>
    </row>
    <row r="48" customFormat="false" ht="15" hidden="false" customHeight="false" outlineLevel="0" collapsed="false">
      <c r="A48" s="7" t="s">
        <v>46</v>
      </c>
      <c r="B48" s="16" t="n">
        <f aca="false">$B$44</f>
        <v>46240.9166666667</v>
      </c>
    </row>
    <row r="49" customFormat="false" ht="15" hidden="false" customHeight="false" outlineLevel="0" collapsed="false">
      <c r="A49" s="10" t="s">
        <v>47</v>
      </c>
      <c r="B49" s="17" t="n">
        <f aca="false">IF(OR($B$32="",$B$44=""),"",($B$44-$B$32)*1440)</f>
        <v>0</v>
      </c>
    </row>
    <row r="50" customFormat="false" ht="15" hidden="false" customHeight="false" outlineLevel="0" collapsed="false">
      <c r="A50" s="10" t="s">
        <v>48</v>
      </c>
      <c r="B50" s="18" t="str">
        <f aca="false">IF($B$49="","",IF(ABS($B$49)&lt;=10,"Convergem. Ok para assar juntas.","Fora de sincronia. Use uma das duas linhas abaixo."))</f>
        <v>Convergem. Ok para assar juntas.</v>
      </c>
    </row>
    <row r="51" customFormat="false" ht="15" hidden="false" customHeight="false" outlineLevel="0" collapsed="false">
      <c r="A51" s="10" t="s">
        <v>49</v>
      </c>
      <c r="B51" s="15" t="n">
        <f aca="false">IF($B$32="","",$B$32-$C$20)</f>
        <v>46239.9270833333</v>
      </c>
      <c r="D51" s="4" t="s">
        <v>50</v>
      </c>
    </row>
    <row r="52" customFormat="false" ht="15" hidden="false" customHeight="false" outlineLevel="0" collapsed="false">
      <c r="A52" s="10" t="s">
        <v>51</v>
      </c>
      <c r="B52" s="15" t="n">
        <f aca="false">IF($B$44="","",$B$44-$B$20)</f>
        <v>46239.6041666667</v>
      </c>
    </row>
    <row r="53" customFormat="false" ht="15" hidden="false" customHeight="false" outlineLevel="0" collapsed="false">
      <c r="A53" s="4" t="s">
        <v>52</v>
      </c>
    </row>
    <row r="54" customFormat="false" ht="15" hidden="false" customHeight="false" outlineLevel="0" collapsed="false">
      <c r="A54" s="3" t="s">
        <v>53</v>
      </c>
    </row>
    <row r="55" customFormat="false" ht="15" hidden="false" customHeight="false" outlineLevel="0" collapsed="false">
      <c r="A55" s="4" t="s">
        <v>38</v>
      </c>
      <c r="B55" s="19" t="s">
        <v>54</v>
      </c>
      <c r="C55" s="20" t="n">
        <v>0.4736</v>
      </c>
      <c r="D55" s="21" t="n">
        <v>5.08</v>
      </c>
    </row>
    <row r="56" customFormat="false" ht="15" hidden="false" customHeight="false" outlineLevel="0" collapsed="false">
      <c r="A56" s="4" t="s">
        <v>55</v>
      </c>
    </row>
    <row r="58" customFormat="false" ht="16.5" hidden="false" customHeight="true" outlineLevel="0" collapsed="false">
      <c r="A58" s="5" t="s">
        <v>56</v>
      </c>
      <c r="B58" s="5"/>
      <c r="C58" s="5"/>
      <c r="D58" s="5"/>
    </row>
    <row r="59" customFormat="false" ht="15" hidden="false" customHeight="false" outlineLevel="0" collapsed="false">
      <c r="A59" s="4" t="s">
        <v>57</v>
      </c>
    </row>
    <row r="60" customFormat="false" ht="15" hidden="false" customHeight="false" outlineLevel="0" collapsed="false">
      <c r="A60" s="4" t="s">
        <v>58</v>
      </c>
    </row>
    <row r="61" customFormat="false" ht="15" hidden="false" customHeight="false" outlineLevel="0" collapsed="false">
      <c r="A61" s="4" t="s">
        <v>59</v>
      </c>
    </row>
    <row r="62" customFormat="false" ht="15" hidden="false" customHeight="false" outlineLevel="0" collapsed="false">
      <c r="A62" s="4" t="s">
        <v>60</v>
      </c>
    </row>
    <row r="63" customFormat="false" ht="15" hidden="false" customHeight="false" outlineLevel="0" collapsed="false">
      <c r="A63" s="4" t="s">
        <v>61</v>
      </c>
    </row>
    <row r="64" customFormat="false" ht="15" hidden="false" customHeight="false" outlineLevel="0" collapsed="false">
      <c r="A64" s="4" t="s">
        <v>62</v>
      </c>
    </row>
    <row r="66" customFormat="false" ht="15" hidden="false" customHeight="false" outlineLevel="0" collapsed="false">
      <c r="A66" s="4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2"/>
  </cols>
  <sheetData>
    <row r="1" customFormat="false" ht="17.35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10" t="s">
        <v>66</v>
      </c>
      <c r="B4" s="8" t="n">
        <v>46240.9166666667</v>
      </c>
      <c r="C4" s="4" t="s">
        <v>67</v>
      </c>
    </row>
    <row r="6" customFormat="false" ht="16.5" hidden="false" customHeight="true" outlineLevel="0" collapsed="false">
      <c r="A6" s="5" t="s">
        <v>68</v>
      </c>
      <c r="B6" s="5"/>
      <c r="C6" s="5"/>
    </row>
    <row r="7" customFormat="false" ht="15" hidden="false" customHeight="false" outlineLevel="0" collapsed="false">
      <c r="A7" s="6" t="s">
        <v>31</v>
      </c>
      <c r="B7" s="6" t="s">
        <v>8</v>
      </c>
      <c r="C7" s="6" t="s">
        <v>9</v>
      </c>
    </row>
    <row r="8" customFormat="false" ht="15" hidden="false" customHeight="false" outlineLevel="0" collapsed="false">
      <c r="A8" s="10" t="s">
        <v>11</v>
      </c>
      <c r="B8" s="15" t="n">
        <f aca="false">IF($B$4="","",$B$4-Cronograma!$B$20)</f>
        <v>46239.6041666667</v>
      </c>
      <c r="C8" s="15" t="n">
        <f aca="false">IF($B$4="","",$B$4-Cronograma!$C$20)</f>
        <v>46239.9270833333</v>
      </c>
    </row>
    <row r="9" customFormat="false" ht="15" hidden="false" customHeight="false" outlineLevel="0" collapsed="false">
      <c r="A9" s="7" t="s">
        <v>35</v>
      </c>
      <c r="B9" s="22" t="n">
        <f aca="false">IF(B8="","",B8+Cronograma!$B$12)</f>
        <v>46239.6458333333</v>
      </c>
      <c r="C9" s="22" t="n">
        <f aca="false">IF(C8="","",C8+Cronograma!$C$12)</f>
        <v>46239.9583333333</v>
      </c>
    </row>
    <row r="10" customFormat="false" ht="15" hidden="false" customHeight="false" outlineLevel="0" collapsed="false">
      <c r="A10" s="7" t="s">
        <v>36</v>
      </c>
      <c r="B10" s="22" t="n">
        <f aca="false">IF(B$9="","",B$9+Cronograma!$B$18)</f>
        <v>46239.9583333333</v>
      </c>
      <c r="C10" s="22" t="n">
        <f aca="false">IF(C$9="","",C$9+Cronograma!$C$18)</f>
        <v>46240.2916666667</v>
      </c>
    </row>
    <row r="11" customFormat="false" ht="15" hidden="false" customHeight="false" outlineLevel="0" collapsed="false">
      <c r="A11" s="7" t="s">
        <v>37</v>
      </c>
      <c r="B11" s="22" t="n">
        <f aca="false">IF(B$9="","",B$9+Cronograma!$B$19)</f>
        <v>46240.3333333333</v>
      </c>
      <c r="C11" s="22" t="n">
        <f aca="false">IF(C$9="","",C$9+Cronograma!$C$19)</f>
        <v>46240.5</v>
      </c>
    </row>
    <row r="12" customFormat="false" ht="15" hidden="false" customHeight="false" outlineLevel="0" collapsed="false">
      <c r="A12" s="7" t="s">
        <v>38</v>
      </c>
      <c r="B12" s="22" t="n">
        <f aca="false">IF(B$9="","",B$9+Cronograma!$B$13)</f>
        <v>46240.4583333333</v>
      </c>
      <c r="C12" s="22" t="n">
        <f aca="false">IF(C$9="","",C$9+Cronograma!$C$13)</f>
        <v>46240.5833333333</v>
      </c>
    </row>
    <row r="13" customFormat="false" ht="15" hidden="false" customHeight="false" outlineLevel="0" collapsed="false">
      <c r="A13" s="7" t="s">
        <v>39</v>
      </c>
      <c r="B13" s="22" t="n">
        <f aca="false">IF(B$12="","",B$12+Cronograma!$B$14)</f>
        <v>46240.5833333333</v>
      </c>
      <c r="C13" s="22" t="n">
        <f aca="false">IF(C$12="","",C$12+Cronograma!$C$14)</f>
        <v>46240.6666666667</v>
      </c>
    </row>
    <row r="14" customFormat="false" ht="15" hidden="false" customHeight="false" outlineLevel="0" collapsed="false">
      <c r="A14" s="7" t="s">
        <v>40</v>
      </c>
      <c r="B14" s="22" t="n">
        <f aca="false">IF(B$13="","",B$13+Cronograma!$B$15)</f>
        <v>46240.5972222222</v>
      </c>
      <c r="C14" s="22" t="n">
        <f aca="false">IF(C$13="","",C$13+Cronograma!$C$15)</f>
        <v>46240.6805555556</v>
      </c>
    </row>
    <row r="15" customFormat="false" ht="15" hidden="false" customHeight="false" outlineLevel="0" collapsed="false">
      <c r="A15" s="7" t="s">
        <v>41</v>
      </c>
      <c r="B15" s="22" t="n">
        <f aca="false">IF(B$14="","",B$14+Cronograma!$B$16)</f>
        <v>46240.71875</v>
      </c>
      <c r="C15" s="22" t="n">
        <f aca="false">IF(C$14="","",C$14+Cronograma!$C$16)</f>
        <v>46240.71875</v>
      </c>
    </row>
    <row r="16" customFormat="false" ht="15" hidden="false" customHeight="false" outlineLevel="0" collapsed="false">
      <c r="A16" s="10" t="s">
        <v>42</v>
      </c>
      <c r="B16" s="15" t="n">
        <f aca="false">IF(B$15="","",B$15+Cronograma!$B$17)</f>
        <v>46240.9166666667</v>
      </c>
      <c r="C16" s="15" t="n">
        <f aca="false">IF(C$15="","",C$15+Cronograma!$C$17)</f>
        <v>46240.9166666667</v>
      </c>
    </row>
    <row r="18" customFormat="false" ht="15" hidden="false" customHeight="false" outlineLevel="0" collapsed="false">
      <c r="A18" s="4" t="s">
        <v>69</v>
      </c>
    </row>
    <row r="19" customFormat="false" ht="15" hidden="false" customHeight="false" outlineLevel="0" collapsed="false">
      <c r="A19" s="4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2026-08-05T23:58:28Z</dcterms:created>
  <dc:creator>openpyxl</dc:creator>
  <dc:description/>
  <dc:language>en-US</dc:language>
  <cp:lastModifiedBy/>
  <dcterms:modified xsi:type="dcterms:W3CDTF">2026-08-05T23:58:28Z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