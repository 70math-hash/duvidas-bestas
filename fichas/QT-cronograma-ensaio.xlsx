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onograma" sheetId="1" state="visible" r:id="rId1"/>
    <sheet name="De trás para frent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dd dd/mm hh:mm"/>
    <numFmt numFmtId="166" formatCode="[h]:mm"/>
    <numFmt numFmtId="167" formatCode="hh:mm"/>
    <numFmt numFmtId="168" formatCode="0&quot; min&quot;"/>
  </numFmts>
  <fonts count="10">
    <font>
      <name val="Calibri"/>
      <family val="2"/>
      <color theme="1"/>
      <sz val="11"/>
      <scheme val="minor"/>
    </font>
    <font>
      <name val="Arial"/>
      <b val="1"/>
      <color rgb="001A1E1E"/>
      <sz val="14"/>
    </font>
    <font>
      <name val="Arial"/>
      <color rgb="006E7474"/>
      <sz val="10"/>
    </font>
    <font>
      <name val="Arial"/>
      <b val="1"/>
      <color rgb="001A1E1E"/>
      <sz val="9"/>
    </font>
    <font>
      <name val="Arial"/>
      <color rgb="004A5050"/>
      <sz val="9"/>
    </font>
    <font>
      <name val="Arial"/>
      <b val="1"/>
      <color rgb="00FFFFFF"/>
      <sz val="9"/>
    </font>
    <font>
      <name val="Arial"/>
      <color rgb="001A1E1E"/>
      <sz val="10"/>
    </font>
    <font>
      <name val="Arial"/>
      <b val="1"/>
      <color rgb="000000FF"/>
      <sz val="10"/>
    </font>
    <font>
      <name val="Arial"/>
      <b val="1"/>
      <color rgb="001A1E1E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1A1E1E"/>
      </patternFill>
    </fill>
    <fill>
      <patternFill patternType="solid">
        <fgColor rgb="00FFFFCC"/>
      </patternFill>
    </fill>
    <fill>
      <patternFill patternType="solid">
        <fgColor rgb="00E4E1E0"/>
      </patternFill>
    </fill>
  </fills>
  <borders count="3">
    <border>
      <left/>
      <right/>
      <top/>
      <bottom/>
      <diagonal/>
    </border>
    <border>
      <bottom style="thin">
        <color rgb="00BFC4C3"/>
      </bottom>
    </border>
    <border>
      <left style="thin">
        <color rgb="00BFC4C3"/>
      </left>
      <right style="thin">
        <color rgb="00BFC4C3"/>
      </right>
      <top style="thin">
        <color rgb="00BFC4C3"/>
      </top>
      <bottom style="thin">
        <color rgb="00BFC4C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3" fillId="0" borderId="1" pivotButton="0" quotePrefix="0" xfId="0"/>
    <xf numFmtId="0" fontId="6" fillId="0" borderId="0" pivotButton="0" quotePrefix="0" xfId="0"/>
    <xf numFmtId="165" fontId="7" fillId="3" borderId="2" applyAlignment="1" pivotButton="0" quotePrefix="0" xfId="0">
      <alignment horizontal="center"/>
    </xf>
    <xf numFmtId="166" fontId="7" fillId="3" borderId="2" applyAlignment="1" pivotButton="0" quotePrefix="0" xfId="0">
      <alignment horizontal="center"/>
    </xf>
    <xf numFmtId="0" fontId="8" fillId="0" borderId="0" pivotButton="0" quotePrefix="0" xfId="0"/>
    <xf numFmtId="166" fontId="8" fillId="0" borderId="0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67" fontId="6" fillId="4" borderId="2" applyAlignment="1" pivotButton="0" quotePrefix="0" xfId="0">
      <alignment horizontal="center"/>
    </xf>
    <xf numFmtId="2" fontId="6" fillId="4" borderId="2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168" fontId="8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7" fontId="4" fillId="0" borderId="0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165" fontId="9" fillId="0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3" customWidth="1" min="3" max="3"/>
    <col width="62" customWidth="1" min="4" max="4"/>
  </cols>
  <sheetData>
    <row r="1">
      <c r="A1" s="1" t="inlineStr">
        <is>
          <t>QT PIZZA BAR · ENSAIO DE PRÉ-FERMENTOS</t>
        </is>
      </c>
    </row>
    <row r="2">
      <c r="A2" s="2" t="inlineStr">
        <is>
          <t>Cronograma automático · braço B (biga a 55%) e braço C (biga a 65%)</t>
        </is>
      </c>
    </row>
    <row r="4">
      <c r="A4" s="3" t="inlineStr">
        <is>
          <t>COMO USAR</t>
        </is>
      </c>
    </row>
    <row r="5">
      <c r="A5" s="4" t="inlineStr">
        <is>
          <t>Edite só as células amarelas. Mude a hora da mistura da biga e todo o cronograma daquele braço se recalcula.</t>
        </is>
      </c>
    </row>
    <row r="6">
      <c r="A6" s="4" t="inlineStr">
        <is>
          <t>Células cinza são para anotar à mão durante a produção: hora real e pH medido.</t>
        </is>
      </c>
    </row>
    <row r="7">
      <c r="A7" s="4" t="inlineStr">
        <is>
          <t>Durações no formato h:mm, por exemplo 19:30 para dezenove horas e meia. Mistura no formato dia/mês hora:minuto.</t>
        </is>
      </c>
    </row>
    <row r="9" ht="17" customHeight="1">
      <c r="A9" s="5" t="inlineStr">
        <is>
          <t xml:space="preserve">  PARÂMETROS · o que você edita</t>
        </is>
      </c>
      <c r="B9" s="5" t="n"/>
      <c r="C9" s="5" t="n"/>
      <c r="D9" s="5" t="n"/>
    </row>
    <row r="10">
      <c r="A10" s="6" t="inlineStr">
        <is>
          <t>Parâmetro</t>
        </is>
      </c>
      <c r="B10" s="6" t="inlineStr">
        <is>
          <t>B · Morbida 55%</t>
        </is>
      </c>
      <c r="C10" s="6" t="inlineStr">
        <is>
          <t>C · Umida 65%</t>
        </is>
      </c>
      <c r="D10" s="6" t="inlineStr">
        <is>
          <t>Observação</t>
        </is>
      </c>
    </row>
    <row r="11">
      <c r="A11" s="7" t="inlineStr">
        <is>
          <t>Mistura da biga</t>
        </is>
      </c>
      <c r="B11" s="8" t="n">
        <v>46239.60416666666</v>
      </c>
      <c r="C11" s="8" t="n">
        <v>46239.92708333334</v>
      </c>
      <c r="D11" s="4" t="inlineStr">
        <is>
          <t>editável, dispara todo o resto</t>
        </is>
      </c>
    </row>
    <row r="12">
      <c r="A12" s="7" t="inlineStr">
        <is>
          <t>Arranque a 20 °C</t>
        </is>
      </c>
      <c r="B12" s="9" t="n">
        <v>0.04166666666666666</v>
      </c>
      <c r="C12" s="9" t="n">
        <v>0.03125</v>
      </c>
      <c r="D12" s="4" t="inlineStr">
        <is>
          <t>antes de ir para o frio</t>
        </is>
      </c>
    </row>
    <row r="13">
      <c r="A13" s="7" t="inlineStr">
        <is>
          <t>Câmara a 4 °C</t>
        </is>
      </c>
      <c r="B13" s="9" t="n">
        <v>0.8125</v>
      </c>
      <c r="C13" s="9" t="n">
        <v>0.625</v>
      </c>
      <c r="D13" s="4" t="inlineStr">
        <is>
          <t>encurtada na revisão 2 para caber no horário</t>
        </is>
      </c>
    </row>
    <row r="14">
      <c r="A14" s="7" t="inlineStr">
        <is>
          <t>Risveglio a 21 °C</t>
        </is>
      </c>
      <c r="B14" s="9" t="n">
        <v>0.125</v>
      </c>
      <c r="C14" s="9" t="n">
        <v>0.08333333333333333</v>
      </c>
      <c r="D14" s="4" t="inlineStr">
        <is>
          <t>compensa a câmara mais curta</t>
        </is>
      </c>
    </row>
    <row r="15">
      <c r="A15" s="7" t="inlineStr">
        <is>
          <t>Mistura do rinfresco</t>
        </is>
      </c>
      <c r="B15" s="9" t="n">
        <v>0.01388888888888889</v>
      </c>
      <c r="C15" s="9" t="n">
        <v>0.01388888888888889</v>
      </c>
      <c r="D15" s="4" t="inlineStr">
        <is>
          <t>água a fio, sal na última adição</t>
        </is>
      </c>
    </row>
    <row r="16">
      <c r="A16" s="7" t="inlineStr">
        <is>
          <t>Puntata a 22 a 24 °C</t>
        </is>
      </c>
      <c r="B16" s="9" t="n">
        <v>0.1215277777777778</v>
      </c>
      <c r="C16" s="9" t="n">
        <v>0.03819444444444445</v>
      </c>
      <c r="D16" s="4" t="inlineStr">
        <is>
          <t>absorve a diferença entre os dois braços</t>
        </is>
      </c>
    </row>
    <row r="17">
      <c r="A17" s="7" t="inlineStr">
        <is>
          <t>Appretto a 18 °C</t>
        </is>
      </c>
      <c r="B17" s="9" t="n">
        <v>0.1979166666666667</v>
      </c>
      <c r="C17" s="9" t="n">
        <v>0.1979166666666667</v>
      </c>
      <c r="D17" s="4" t="inlineStr">
        <is>
          <t>igual nos dois braços, de propósito</t>
        </is>
      </c>
    </row>
    <row r="18">
      <c r="A18" s="7" t="inlineStr">
        <is>
          <t>Checagem 1, horas de câmara</t>
        </is>
      </c>
      <c r="B18" s="9" t="n">
        <v>0.3125</v>
      </c>
      <c r="C18" s="9" t="n">
        <v>0.3333333333333333</v>
      </c>
      <c r="D18" s="4" t="inlineStr">
        <is>
          <t>leitura no testemunho de 200 g</t>
        </is>
      </c>
    </row>
    <row r="19">
      <c r="A19" s="7" t="inlineStr">
        <is>
          <t>Checagem 2, horas de câmara</t>
        </is>
      </c>
      <c r="B19" s="9" t="n">
        <v>0.6875</v>
      </c>
      <c r="C19" s="9" t="n">
        <v>0.5416666666666666</v>
      </c>
      <c r="D19" s="4" t="inlineStr">
        <is>
          <t>leitura no testemunho de 200 g</t>
        </is>
      </c>
    </row>
    <row r="20">
      <c r="A20" s="10" t="inlineStr">
        <is>
          <t>Total, da mistura ao forno</t>
        </is>
      </c>
      <c r="B20" s="11">
        <f>SUM(B12:B17)</f>
        <v/>
      </c>
      <c r="C20" s="11">
        <f>SUM(C12:C17)</f>
        <v/>
      </c>
      <c r="D20" s="4" t="inlineStr">
        <is>
          <t>soma das durações, sem contar as checagens</t>
        </is>
      </c>
    </row>
    <row r="22" ht="17" customHeight="1">
      <c r="A22" s="5" t="inlineStr">
        <is>
          <t xml:space="preserve">  CRONOGRAMA · BRAÇO B · BIGA A 55% · FERMENTO 0,9%</t>
        </is>
      </c>
      <c r="B22" s="5" t="n"/>
      <c r="C22" s="5" t="n"/>
      <c r="D22" s="5" t="n"/>
    </row>
    <row r="23">
      <c r="A23" s="6" t="inlineStr">
        <is>
          <t>Etapa</t>
        </is>
      </c>
      <c r="B23" s="6" t="inlineStr">
        <is>
          <t>Previsto</t>
        </is>
      </c>
      <c r="C23" s="6" t="inlineStr">
        <is>
          <t>Hora real</t>
        </is>
      </c>
      <c r="D23" s="6" t="inlineStr">
        <is>
          <t>pH observado</t>
        </is>
      </c>
    </row>
    <row r="24">
      <c r="A24" s="7" t="inlineStr">
        <is>
          <t>Mistura da biga</t>
        </is>
      </c>
      <c r="B24" s="12">
        <f>IF($B$11="","",$B$11)</f>
        <v/>
      </c>
      <c r="C24" s="13" t="n"/>
      <c r="D24" s="14" t="n"/>
    </row>
    <row r="25">
      <c r="A25" s="7" t="inlineStr">
        <is>
          <t>Entra na câmara a 4 °C</t>
        </is>
      </c>
      <c r="B25" s="12">
        <f>IF($B24="","",$B24+$B$12)</f>
        <v/>
      </c>
      <c r="C25" s="13" t="n"/>
      <c r="D25" s="14" t="n"/>
    </row>
    <row r="26">
      <c r="A26" s="7" t="inlineStr">
        <is>
          <t>Checagem 1</t>
        </is>
      </c>
      <c r="B26" s="12">
        <f>IF($B25="","",$B25+$B$18)</f>
        <v/>
      </c>
      <c r="C26" s="13" t="n"/>
      <c r="D26" s="14" t="n"/>
    </row>
    <row r="27">
      <c r="A27" s="7" t="inlineStr">
        <is>
          <t>Checagem 2</t>
        </is>
      </c>
      <c r="B27" s="12">
        <f>IF($B25="","",$B25+$B$19)</f>
        <v/>
      </c>
      <c r="C27" s="13" t="n"/>
      <c r="D27" s="14" t="n"/>
    </row>
    <row r="28">
      <c r="A28" s="10" t="inlineStr">
        <is>
          <t>Sai da câmara</t>
        </is>
      </c>
      <c r="B28" s="15">
        <f>IF($B25="","",$B25+$B$13)</f>
        <v/>
      </c>
      <c r="C28" s="13" t="n"/>
      <c r="D28" s="14" t="n"/>
    </row>
    <row r="29">
      <c r="A29" s="10" t="inlineStr">
        <is>
          <t>Rinfresco, início</t>
        </is>
      </c>
      <c r="B29" s="15">
        <f>IF($B28="","",$B28+$B$14)</f>
        <v/>
      </c>
      <c r="C29" s="13" t="n"/>
      <c r="D29" s="14" t="n"/>
    </row>
    <row r="30">
      <c r="A30" s="7" t="inlineStr">
        <is>
          <t>Rinfresco, fim da mistura</t>
        </is>
      </c>
      <c r="B30" s="12">
        <f>IF($B29="","",$B29+$B$15)</f>
        <v/>
      </c>
      <c r="C30" s="13" t="n"/>
      <c r="D30" s="14" t="n"/>
    </row>
    <row r="31">
      <c r="A31" s="7" t="inlineStr">
        <is>
          <t>Staglio, 6 × 290 g</t>
        </is>
      </c>
      <c r="B31" s="12">
        <f>IF($B30="","",$B30+$B$16)</f>
        <v/>
      </c>
      <c r="C31" s="13" t="n"/>
      <c r="D31" s="14" t="n"/>
    </row>
    <row r="32">
      <c r="A32" s="10" t="inlineStr">
        <is>
          <t>Forno</t>
        </is>
      </c>
      <c r="B32" s="15">
        <f>IF($B31="","",$B31+$B$17)</f>
        <v/>
      </c>
      <c r="C32" s="13" t="n"/>
      <c r="D32" s="14" t="n"/>
    </row>
    <row r="34" ht="17" customHeight="1">
      <c r="A34" s="5" t="inlineStr">
        <is>
          <t xml:space="preserve">  CRONOGRAMA · BRAÇO C · BIGA A 65% · FERMENTO 0,55%</t>
        </is>
      </c>
      <c r="B34" s="5" t="n"/>
      <c r="C34" s="5" t="n"/>
      <c r="D34" s="5" t="n"/>
    </row>
    <row r="35">
      <c r="A35" s="6" t="inlineStr">
        <is>
          <t>Etapa</t>
        </is>
      </c>
      <c r="B35" s="6" t="inlineStr">
        <is>
          <t>Previsto</t>
        </is>
      </c>
      <c r="C35" s="6" t="inlineStr">
        <is>
          <t>Hora real</t>
        </is>
      </c>
      <c r="D35" s="6" t="inlineStr">
        <is>
          <t>pH observado</t>
        </is>
      </c>
    </row>
    <row r="36">
      <c r="A36" s="7" t="inlineStr">
        <is>
          <t>Mistura da biga</t>
        </is>
      </c>
      <c r="B36" s="12">
        <f>IF($C$11="","",$C$11)</f>
        <v/>
      </c>
      <c r="C36" s="13" t="n"/>
      <c r="D36" s="14" t="n"/>
    </row>
    <row r="37">
      <c r="A37" s="7" t="inlineStr">
        <is>
          <t>Entra na câmara a 4 °C</t>
        </is>
      </c>
      <c r="B37" s="12">
        <f>IF($B36="","",$B36+$C$12)</f>
        <v/>
      </c>
      <c r="C37" s="13" t="n"/>
      <c r="D37" s="14" t="n"/>
    </row>
    <row r="38">
      <c r="A38" s="7" t="inlineStr">
        <is>
          <t>Checagem 1</t>
        </is>
      </c>
      <c r="B38" s="12">
        <f>IF($B37="","",$B37+$C$18)</f>
        <v/>
      </c>
      <c r="C38" s="13" t="n"/>
      <c r="D38" s="14" t="n"/>
    </row>
    <row r="39">
      <c r="A39" s="7" t="inlineStr">
        <is>
          <t>Checagem 2</t>
        </is>
      </c>
      <c r="B39" s="12">
        <f>IF($B37="","",$B37+$C$19)</f>
        <v/>
      </c>
      <c r="C39" s="13" t="n"/>
      <c r="D39" s="14" t="n"/>
    </row>
    <row r="40">
      <c r="A40" s="10" t="inlineStr">
        <is>
          <t>Sai da câmara</t>
        </is>
      </c>
      <c r="B40" s="15">
        <f>IF($B37="","",$B37+$C$13)</f>
        <v/>
      </c>
      <c r="C40" s="13" t="n"/>
      <c r="D40" s="14" t="n"/>
    </row>
    <row r="41">
      <c r="A41" s="10" t="inlineStr">
        <is>
          <t>Rinfresco, início</t>
        </is>
      </c>
      <c r="B41" s="15">
        <f>IF($B40="","",$B40+$C$14)</f>
        <v/>
      </c>
      <c r="C41" s="13" t="n"/>
      <c r="D41" s="14" t="n"/>
    </row>
    <row r="42">
      <c r="A42" s="7" t="inlineStr">
        <is>
          <t>Rinfresco, fim da mistura</t>
        </is>
      </c>
      <c r="B42" s="12">
        <f>IF($B41="","",$B41+$C$15)</f>
        <v/>
      </c>
      <c r="C42" s="13" t="n"/>
      <c r="D42" s="14" t="n"/>
    </row>
    <row r="43">
      <c r="A43" s="7" t="inlineStr">
        <is>
          <t>Staglio, 6 × 290 g</t>
        </is>
      </c>
      <c r="B43" s="12">
        <f>IF($B42="","",$B42+$C$16)</f>
        <v/>
      </c>
      <c r="C43" s="13" t="n"/>
      <c r="D43" s="14" t="n"/>
    </row>
    <row r="44">
      <c r="A44" s="10" t="inlineStr">
        <is>
          <t>Forno</t>
        </is>
      </c>
      <c r="B44" s="15">
        <f>IF($B43="","",$B43+$C$17)</f>
        <v/>
      </c>
      <c r="C44" s="13" t="n"/>
      <c r="D44" s="14" t="n"/>
    </row>
    <row r="46" ht="17" customHeight="1">
      <c r="A46" s="5" t="inlineStr">
        <is>
          <t xml:space="preserve">  CONVERGÊNCIA · as duas precisam assar no mesmo horário</t>
        </is>
      </c>
      <c r="B46" s="5" t="n"/>
      <c r="C46" s="5" t="n"/>
      <c r="D46" s="5" t="n"/>
    </row>
    <row r="47">
      <c r="A47" s="7" t="inlineStr">
        <is>
          <t>Forno do braço B</t>
        </is>
      </c>
      <c r="B47" s="16">
        <f>$B$32</f>
        <v/>
      </c>
    </row>
    <row r="48">
      <c r="A48" s="7" t="inlineStr">
        <is>
          <t>Forno do braço C</t>
        </is>
      </c>
      <c r="B48" s="16">
        <f>$B$44</f>
        <v/>
      </c>
    </row>
    <row r="49">
      <c r="A49" s="10" t="inlineStr">
        <is>
          <t>Diferença</t>
        </is>
      </c>
      <c r="B49" s="17">
        <f>IF(OR($B$32="",$B$44=""),"",($B$44-$B$32)*1440)</f>
        <v/>
      </c>
    </row>
    <row r="50">
      <c r="A50" s="10" t="inlineStr">
        <is>
          <t>Situação</t>
        </is>
      </c>
      <c r="B50" s="18">
        <f>IF($B48="","",IF(ABS($B48)&lt;=10,"Convergem. Ok para assar juntas.","Fora de sincronia. Use uma das duas linhas abaixo."))</f>
        <v/>
      </c>
    </row>
    <row r="51">
      <c r="A51" s="10" t="inlineStr">
        <is>
          <t>Para C assar junto com B, bata a biga C às</t>
        </is>
      </c>
      <c r="B51" s="15">
        <f>IF($B$32="","",$B$32-$C$20)</f>
        <v/>
      </c>
      <c r="D51" s="4" t="inlineStr">
        <is>
          <t>copie o valor para a célula B11 ou C11 e o cronograma se realinha</t>
        </is>
      </c>
    </row>
    <row r="52">
      <c r="A52" s="10" t="inlineStr">
        <is>
          <t>Para B assar junto com C, bata a biga B às</t>
        </is>
      </c>
      <c r="B52" s="15">
        <f>IF($B$44="","",$B$44-$B$20)</f>
        <v/>
      </c>
    </row>
    <row r="53">
      <c r="A53" s="4" t="inlineStr">
        <is>
          <t>Quando os dois braços fecham no mesmo minuto está certo. Os 4 minutos entre as infornatas na folha 3 são a ordem de entrada no forno, não diferença de cronograma.</t>
        </is>
      </c>
    </row>
    <row r="54">
      <c r="A54" s="3" t="inlineStr">
        <is>
          <t>EXEMPLO DE PREENCHIMENTO DAS COLUNAS CINZA</t>
        </is>
      </c>
    </row>
    <row r="55">
      <c r="A55" s="4" t="inlineStr">
        <is>
          <t>Sai da câmara</t>
        </is>
      </c>
      <c r="B55" s="19" t="inlineStr">
        <is>
          <t>previsto qui 06/08 11:00</t>
        </is>
      </c>
      <c r="C55" s="20" t="n">
        <v>0.4736</v>
      </c>
      <c r="D55" s="21" t="n">
        <v>5.08</v>
      </c>
    </row>
    <row r="56">
      <c r="A56" s="4" t="inlineStr">
        <is>
          <t>Anote só o relógio na coluna Hora real, sem a data. pH com duas casas.</t>
        </is>
      </c>
    </row>
    <row r="58" ht="17" customHeight="1">
      <c r="A58" s="5" t="inlineStr">
        <is>
          <t xml:space="preserve">  NOTAS QUE NÃO PODEM SUMIR NA PASSAGEM PARA PLANILHA</t>
        </is>
      </c>
      <c r="B58" s="5" t="n"/>
      <c r="C58" s="5" t="n"/>
      <c r="D58" s="5" t="n"/>
    </row>
    <row r="59">
      <c r="A59" s="4" t="inlineStr">
        <is>
          <t>· Appretto igual nos dois braços é decisão de desenho. Se as bolas não estiverem prontas, atrase o forno, nunca encurte o appretto.</t>
        </is>
      </c>
    </row>
    <row r="60">
      <c r="A60" s="4" t="inlineStr">
        <is>
          <t>· pH sempre em suspensão de 10 g de biga em 100 mL de água destilada a 20 °C. Espeto direto na massa firme dá ruído, não sinal.</t>
        </is>
      </c>
    </row>
    <row r="61">
      <c r="A61" s="4" t="inlineStr">
        <is>
          <t>· Chegou cedo ao ponto, baixe a câmara para 2 °C. Está atrasada, suba o risveglio de 21 °C para 24 a 26 °C.</t>
        </is>
      </c>
    </row>
    <row r="62">
      <c r="A62" s="4" t="inlineStr">
        <is>
          <t>· O risveglio mais longo recupera o pH, não o platô. As duas perdem profundidade aromática em proporção parecida, então a comparação segue de pé.</t>
        </is>
      </c>
    </row>
    <row r="63">
      <c r="A63" s="4" t="inlineStr">
        <is>
          <t>· Sem o braço A, anote a biga a 50% que você já faz como referência, senão você compara 55 contra 65 sem âncora.</t>
        </is>
      </c>
    </row>
    <row r="64">
      <c r="A64" s="4" t="inlineStr">
        <is>
          <t>· Hidratação final de 75% nos dois braços. Fermento fresco de 0,9% em B e 0,55% em C, sobre a farinha.</t>
        </is>
      </c>
    </row>
    <row r="66">
      <c r="A66" s="4" t="inlineStr">
        <is>
          <t>Fonte das durações e das doses: caderno QT-ensaio-pre-fermentos, revisão 2. Horários de mistura e de forno definidos por Matheus.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</cols>
  <sheetData>
    <row r="1">
      <c r="A1" s="1" t="inlineStr">
        <is>
          <t>A QUE HORA BATER CADA BIGA</t>
        </is>
      </c>
    </row>
    <row r="2">
      <c r="A2" s="2" t="inlineStr">
        <is>
          <t>Você informa a hora do forno e a planilha devolve os horários. Usa as mesmas durações da aba Cronograma.</t>
        </is>
      </c>
    </row>
    <row r="4">
      <c r="A4" s="10" t="inlineStr">
        <is>
          <t>Forno desejado</t>
        </is>
      </c>
      <c r="B4" s="8" t="n">
        <v>46240.91666666666</v>
      </c>
      <c r="C4" s="4" t="inlineStr">
        <is>
          <t>editável</t>
        </is>
      </c>
    </row>
    <row r="6" ht="17" customHeight="1">
      <c r="A6" s="5" t="inlineStr">
        <is>
          <t xml:space="preserve">  HORÁRIOS CALCULADOS DE TRÁS PARA FRENTE</t>
        </is>
      </c>
      <c r="B6" s="5" t="n"/>
      <c r="C6" s="5" t="n"/>
    </row>
    <row r="7">
      <c r="A7" s="6" t="inlineStr">
        <is>
          <t>Etapa</t>
        </is>
      </c>
      <c r="B7" s="6" t="inlineStr">
        <is>
          <t>B · Morbida 55%</t>
        </is>
      </c>
      <c r="C7" s="6" t="inlineStr">
        <is>
          <t>C · Umida 65%</t>
        </is>
      </c>
    </row>
    <row r="8">
      <c r="A8" s="10" t="inlineStr">
        <is>
          <t>Mistura da biga</t>
        </is>
      </c>
      <c r="B8" s="15">
        <f>IF($B$4="","",$B$4-Cronograma!$B$20)</f>
        <v/>
      </c>
      <c r="C8" s="15">
        <f>IF($B$4="","",$B$4-Cronograma!$C$20)</f>
        <v/>
      </c>
    </row>
    <row r="9">
      <c r="A9" s="7" t="inlineStr">
        <is>
          <t>Entra na câmara a 4 °C</t>
        </is>
      </c>
      <c r="B9" s="22">
        <f>IF(B8="","",B8+Cronograma!$B$12)</f>
        <v/>
      </c>
      <c r="C9" s="22">
        <f>IF(C8="","",C8+Cronograma!$C$12)</f>
        <v/>
      </c>
    </row>
    <row r="10">
      <c r="A10" s="7" t="inlineStr">
        <is>
          <t>Checagem 1</t>
        </is>
      </c>
      <c r="B10" s="22">
        <f>IF(B$9="","",B$9+Cronograma!$B$18)</f>
        <v/>
      </c>
      <c r="C10" s="22">
        <f>IF(C$9="","",C$9+Cronograma!$C$18)</f>
        <v/>
      </c>
    </row>
    <row r="11">
      <c r="A11" s="7" t="inlineStr">
        <is>
          <t>Checagem 2</t>
        </is>
      </c>
      <c r="B11" s="22">
        <f>IF(B$9="","",B$9+Cronograma!$B$19)</f>
        <v/>
      </c>
      <c r="C11" s="22">
        <f>IF(C$9="","",C$9+Cronograma!$C$19)</f>
        <v/>
      </c>
    </row>
    <row r="12">
      <c r="A12" s="7" t="inlineStr">
        <is>
          <t>Sai da câmara</t>
        </is>
      </c>
      <c r="B12" s="22">
        <f>IF(B$9="","",B$9+Cronograma!$B$13)</f>
        <v/>
      </c>
      <c r="C12" s="22">
        <f>IF(C$9="","",C$9+Cronograma!$C$13)</f>
        <v/>
      </c>
    </row>
    <row r="13">
      <c r="A13" s="7" t="inlineStr">
        <is>
          <t>Rinfresco, início</t>
        </is>
      </c>
      <c r="B13" s="22">
        <f>IF(B$12="","",B$12+Cronograma!$B$14)</f>
        <v/>
      </c>
      <c r="C13" s="22">
        <f>IF(C$12="","",C$12+Cronograma!$C$14)</f>
        <v/>
      </c>
    </row>
    <row r="14">
      <c r="A14" s="7" t="inlineStr">
        <is>
          <t>Rinfresco, fim da mistura</t>
        </is>
      </c>
      <c r="B14" s="22">
        <f>IF(B$13="","",B$13+Cronograma!$B$15)</f>
        <v/>
      </c>
      <c r="C14" s="22">
        <f>IF(C$13="","",C$13+Cronograma!$C$15)</f>
        <v/>
      </c>
    </row>
    <row r="15">
      <c r="A15" s="7" t="inlineStr">
        <is>
          <t>Staglio, 6 × 290 g</t>
        </is>
      </c>
      <c r="B15" s="22">
        <f>IF(B$14="","",B$14+Cronograma!$B$16)</f>
        <v/>
      </c>
      <c r="C15" s="22">
        <f>IF(C$14="","",C$14+Cronograma!$C$16)</f>
        <v/>
      </c>
    </row>
    <row r="16">
      <c r="A16" s="10" t="inlineStr">
        <is>
          <t>Forno</t>
        </is>
      </c>
      <c r="B16" s="15">
        <f>IF(B$15="","",B$15+Cronograma!$B$17)</f>
        <v/>
      </c>
      <c r="C16" s="15">
        <f>IF(C$15="","",C$15+Cronograma!$C$17)</f>
        <v/>
      </c>
    </row>
    <row r="18">
      <c r="A18" s="4" t="inlineStr">
        <is>
          <t>A última linha tem que bater exatamente com o forno desejado. Se não bater, alguma duração da aba Cronograma foi editada no meio do caminho.</t>
        </is>
      </c>
    </row>
    <row r="19">
      <c r="A19" s="4" t="inlineStr">
        <is>
          <t>Verde indica valor que vem da aba Cronograma. Azul é o que você digita.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2026-08-05T18:45:17Z</dcterms:created>
  <dcterms:modified xsi:type="dcterms:W3CDTF">2026-08-05T18:45:17Z</dcterms:modified>
</cp:coreProperties>
</file>